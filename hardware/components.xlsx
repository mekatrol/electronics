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Verification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<sst xmlns="http://schemas.openxmlformats.org/spreadsheetml/2006/main" count="1194" uniqueCount="727">
  <si>
    <t xml:space="preserve">Function</t>
  </si>
  <si>
    <t xml:space="preserve">Part</t>
  </si>
  <si>
    <t xml:space="preserve">Package</t>
  </si>
  <si>
    <t xml:space="preserve">LCSC</t>
  </si>
  <si>
    <t xml:space="preserve">KiCad 10 Symbol</t>
  </si>
  <si>
    <t xml:space="preserve">KiCad 10 Footprint</t>
  </si>
  <si>
    <t xml:space="preserve">QTY Total</t>
  </si>
  <si>
    <t xml:space="preserve">QTY Set 1</t>
  </si>
  <si>
    <t xml:space="preserve">Qty Set 2</t>
  </si>
  <si>
    <t xml:space="preserve">QTY Set 3</t>
  </si>
  <si>
    <t xml:space="preserve">Description</t>
  </si>
  <si>
    <t xml:space="preserve">LCSC Datasheet</t>
  </si>
  <si>
    <t xml:space="preserve">Addressable RGB LED</t>
  </si>
  <si>
    <t xml:space="preserve">XL-5050RGBC-2812B</t>
  </si>
  <si>
    <t xml:space="preserve">SMD5050-4P</t>
  </si>
  <si>
    <t xml:space="preserve">C2843785</t>
  </si>
  <si>
    <t xml:space="preserve">LED:WS2812B</t>
  </si>
  <si>
    <t xml:space="preserve">LED_SMD:LED_WS2812B_PLCC4_5.0x5.0mm_P3.2mm</t>
  </si>
  <si>
    <t xml:space="preserve">WS2812B-compatible individually addressable RGB LED with integrated driver</t>
  </si>
  <si>
    <t xml:space="preserve">https://www.lcsc.com/datasheet/C2843785.pdf</t>
  </si>
  <si>
    <t xml:space="preserve">Battery Holder</t>
  </si>
  <si>
    <t xml:space="preserve">CR2032</t>
  </si>
  <si>
    <t xml:space="preserve">BatteryHolder_Keystone_1058_1x2032</t>
  </si>
  <si>
    <t xml:space="preserve">C6969504</t>
  </si>
  <si>
    <t xml:space="preserve">Device:Battery_Cell</t>
  </si>
  <si>
    <t xml:space="preserve">Battery:BatteryHolder_Keystone_1058_1x2032</t>
  </si>
  <si>
    <t xml:space="preserve">Keystone 1058 ultra-low-profile holder for one CR2032 coin cell</t>
  </si>
  <si>
    <t xml:space="preserve">Bridge Rectifier</t>
  </si>
  <si>
    <t xml:space="preserve">ABS210</t>
  </si>
  <si>
    <t xml:space="preserve">ABS</t>
  </si>
  <si>
    <t xml:space="preserve">C123897</t>
  </si>
  <si>
    <t xml:space="preserve">Diode_Bridge:ABS2</t>
  </si>
  <si>
    <t xml:space="preserve">Diode_SMD:Diode_Bridge_Diotec_ABS</t>
  </si>
  <si>
    <t xml:space="preserve">2 A, 1000 V bridge rectifier in ABS surface-mount package</t>
  </si>
  <si>
    <t xml:space="preserve">https://www.lcsc.com/datasheet/C123897.pdf</t>
  </si>
  <si>
    <t xml:space="preserve">Buck Converter</t>
  </si>
  <si>
    <t xml:space="preserve">LMR38020FDDAR</t>
  </si>
  <si>
    <t xml:space="preserve">SO-PowerPAD-8</t>
  </si>
  <si>
    <t xml:space="preserve">C5149193</t>
  </si>
  <si>
    <t xml:space="preserve">TI LMR38020FDDAR:LMR38020FDDAR</t>
  </si>
  <si>
    <t xml:space="preserve">TI LMR38020FDDAR:DDA0008E-IPC_A</t>
  </si>
  <si>
    <t xml:space="preserve">Buck Switching Regulator IC Adjustable 1V~75V</t>
  </si>
  <si>
    <t xml:space="preserve">https://www.lcsc.com/datasheet/C5149193.pdf</t>
  </si>
  <si>
    <t xml:space="preserve">Buck Voltage Regulator</t>
  </si>
  <si>
    <t xml:space="preserve">LM2576S-12</t>
  </si>
  <si>
    <t xml:space="preserve">TO-263-5</t>
  </si>
  <si>
    <t xml:space="preserve">C347414</t>
  </si>
  <si>
    <t xml:space="preserve">Regulator_Switching:LM2576S-12</t>
  </si>
  <si>
    <t xml:space="preserve">Package_TO_SOT_SMD:TO-263-5_TabPin3</t>
  </si>
  <si>
    <t xml:space="preserve">Fixed 12 V, 3 A step-down switching regulator</t>
  </si>
  <si>
    <t xml:space="preserve">https://www.lcsc.com/datasheet/C347414.pdf</t>
  </si>
  <si>
    <t xml:space="preserve">Capacitor</t>
  </si>
  <si>
    <t xml:space="preserve">1000u</t>
  </si>
  <si>
    <t xml:space="preserve">D16x16.5mm</t>
  </si>
  <si>
    <t xml:space="preserve">C239251</t>
  </si>
  <si>
    <t xml:space="preserve">Device:C_Polarized</t>
  </si>
  <si>
    <t xml:space="preserve">Capacitor_SMD:CP_Elec_16x17.5</t>
  </si>
  <si>
    <t xml:space="preserve">1000 uF ±20%, 50 V aluminium electrolytic, 2000 h at 105 °C</t>
  </si>
  <si>
    <t xml:space="preserve">https://www.lcsc.com/datasheet/C239251.pdf</t>
  </si>
  <si>
    <t xml:space="preserve">D10x10.5mm</t>
  </si>
  <si>
    <t xml:space="preserve">C3445233</t>
  </si>
  <si>
    <t xml:space="preserve">Capacitor_SMD:CP_Elec_10x10.5</t>
  </si>
  <si>
    <t xml:space="preserve">1000 uF ±20%, 16 V aluminium electrolytic, 2000 h at 105 °C</t>
  </si>
  <si>
    <t xml:space="preserve">https://www.lcsc.com/datasheet/C3445233.pdf</t>
  </si>
  <si>
    <t xml:space="preserve">THT D16xL26mm P7.5mm</t>
  </si>
  <si>
    <t xml:space="preserve">C51904476</t>
  </si>
  <si>
    <t xml:space="preserve">Capacitor_THT:CP_Radial_D16.0mm_P7.50mm</t>
  </si>
  <si>
    <t xml:space="preserve">63V ±20% 1000uF 54mΩ@100kHz Through Hole,D16xL26mm Aluminum Electrolytic Capacitors RoHS</t>
  </si>
  <si>
    <t xml:space="preserve">https://www.lcsc.com/datasheet/C51904476.pdf</t>
  </si>
  <si>
    <t xml:space="preserve">100n</t>
  </si>
  <si>
    <t xml:space="preserve">1206</t>
  </si>
  <si>
    <t xml:space="preserve">C110255</t>
  </si>
  <si>
    <t xml:space="preserve">Device:C</t>
  </si>
  <si>
    <t xml:space="preserve">Capacitor_SMD:C_1206_3216Metric</t>
  </si>
  <si>
    <t xml:space="preserve">100 nF ±10%, 100 V X7R ceramic capacitor</t>
  </si>
  <si>
    <t xml:space="preserve">https://www.lcsc.com/datasheet/C110255.pdf</t>
  </si>
  <si>
    <t xml:space="preserve">0603</t>
  </si>
  <si>
    <t xml:space="preserve">C14663</t>
  </si>
  <si>
    <t xml:space="preserve">Capacitor_SMD:C_0603_1608Metric</t>
  </si>
  <si>
    <t xml:space="preserve">100 nF ±10%, 50 V X7R ceramic capacitor</t>
  </si>
  <si>
    <t xml:space="preserve">https://www.lcsc.com/datasheet/C14663.pdf</t>
  </si>
  <si>
    <t xml:space="preserve">TH P=10mm</t>
  </si>
  <si>
    <t xml:space="preserve">C46638858</t>
  </si>
  <si>
    <t xml:space="preserve">Capacitor_THT:C_Rect_L13.0mm_W6.0mm_P10.00mm_FKS3_FKP3_MKS4</t>
  </si>
  <si>
    <t xml:space="preserve">100 nF ±10%, 275/310 VAC Class X2 safety capacitor</t>
  </si>
  <si>
    <t xml:space="preserve">https://www.lcsc.com/datasheet/C46638858.pdf</t>
  </si>
  <si>
    <t xml:space="preserve">18p</t>
  </si>
  <si>
    <t xml:space="preserve">C5137620</t>
  </si>
  <si>
    <t xml:space="preserve">18 pF ±5%, 50 V C0G/NP0 ceramic capacitor</t>
  </si>
  <si>
    <t xml:space="preserve">https://www.lcsc.com/datasheet/C5137620.pdf</t>
  </si>
  <si>
    <t xml:space="preserve">1u</t>
  </si>
  <si>
    <t xml:space="preserve">d4Xl5.4MM</t>
  </si>
  <si>
    <t xml:space="preserve">C4747972</t>
  </si>
  <si>
    <t xml:space="preserve">Capacitor_SMD:CP_Elec_4x5.4</t>
  </si>
  <si>
    <t xml:space="preserve">1 uF ±20%, 50 V aluminium electrolytic, 2000 h at 105 °C</t>
  </si>
  <si>
    <t xml:space="preserve">https://www.lcsc.com/datasheet/C4747972.pdf</t>
  </si>
  <si>
    <t xml:space="preserve">2.2u</t>
  </si>
  <si>
    <t xml:space="preserve">4x6.1</t>
  </si>
  <si>
    <t xml:space="preserve">C700860</t>
  </si>
  <si>
    <t xml:space="preserve">Capacitor_SMD:CP_Elec_4x5.8</t>
  </si>
  <si>
    <t xml:space="preserve">2.2 uF ±20%, 50 V aluminium electrolytic, 2000 h at 105 °C</t>
  </si>
  <si>
    <t xml:space="preserve">220u</t>
  </si>
  <si>
    <t xml:space="preserve">6.3x7.7</t>
  </si>
  <si>
    <t xml:space="preserve">C4747974</t>
  </si>
  <si>
    <t xml:space="preserve">Capacitor_SMD:CP_Elec_6.3x7.7</t>
  </si>
  <si>
    <t xml:space="preserve">220 uF ±20%, 25 V aluminium electrolytic, 2000 h at 105 °C</t>
  </si>
  <si>
    <t xml:space="preserve">https://www.lcsc.com/datasheet/C4747974.pdf</t>
  </si>
  <si>
    <t xml:space="preserve">22u</t>
  </si>
  <si>
    <t xml:space="preserve">5x5.4</t>
  </si>
  <si>
    <t xml:space="preserve">C4747978</t>
  </si>
  <si>
    <t xml:space="preserve">Capacitor_SMD:CP_Elec_5x5.4</t>
  </si>
  <si>
    <t xml:space="preserve">22 uF ±20%, 35 V aluminium electrolytic, 2000 h at 105 °C</t>
  </si>
  <si>
    <t xml:space="preserve">4.7u</t>
  </si>
  <si>
    <t xml:space="preserve">1210</t>
  </si>
  <si>
    <t xml:space="preserve">C2840282</t>
  </si>
  <si>
    <t xml:space="preserve">Capacitor_SMD:C_1210_3225Metric</t>
  </si>
  <si>
    <t xml:space="preserve">4.7 µF ±10%, 100 V X7R ceramic capacitor</t>
  </si>
  <si>
    <t xml:space="preserve">https://www.lcsc.com/datasheet/C2840282.pdf</t>
  </si>
  <si>
    <t xml:space="preserve">SMD D6.3xL5.4mm</t>
  </si>
  <si>
    <t xml:space="preserve">C2894225</t>
  </si>
  <si>
    <t xml:space="preserve">Capacitor_SMD:CP_Elec_6.3x5.4</t>
  </si>
  <si>
    <t xml:space="preserve">4.7 uF ±20%, 100 V aluminium electrolytic, 2000 h at 105 °C</t>
  </si>
  <si>
    <t xml:space="preserve">https://www.lcsc.com/datasheet/C2894225.pdf</t>
  </si>
  <si>
    <t xml:space="preserve">C29823</t>
  </si>
  <si>
    <t xml:space="preserve">4.7 uF ±10%, 50 V X7R ceramic capacitor</t>
  </si>
  <si>
    <t xml:space="preserve">https://www.lcsc.com/datasheet/C29823.pdf</t>
  </si>
  <si>
    <t xml:space="preserve">Crystal</t>
  </si>
  <si>
    <t xml:space="preserve">24MHz</t>
  </si>
  <si>
    <t xml:space="preserve">SMD3225-4P</t>
  </si>
  <si>
    <t xml:space="preserve">C5181479</t>
  </si>
  <si>
    <t xml:space="preserve">Device:Crystal_GND24</t>
  </si>
  <si>
    <t xml:space="preserve">Crystal:Crystal_SMD_3225-4Pin_3.2x2.5mm</t>
  </si>
  <si>
    <t xml:space="preserve">24 MHz ±10 ppm crystal, 12 pF load capacitance, 4-terminal SMD</t>
  </si>
  <si>
    <t xml:space="preserve">https://www.lcsc.com/datasheet/C5181479.pdf</t>
  </si>
  <si>
    <t xml:space="preserve">32.768K</t>
  </si>
  <si>
    <t xml:space="preserve">SMD3215-2P</t>
  </si>
  <si>
    <t xml:space="preserve">C32346</t>
  </si>
  <si>
    <t xml:space="preserve">Device:Crystal</t>
  </si>
  <si>
    <t xml:space="preserve">Crystal:Crystal_SMD_3215-2Pin_3.2x1.5mm</t>
  </si>
  <si>
    <t xml:space="preserve">32.768 kHz crystal, ±20 ppm, 12.5 pF load capacitance, 70 kohm ESR</t>
  </si>
  <si>
    <t xml:space="preserve">https://www.lcsc.com/datasheet/C32346.pdf</t>
  </si>
  <si>
    <t xml:space="preserve">Darlington Transistor Array</t>
  </si>
  <si>
    <t xml:space="preserve">ULN2803A</t>
  </si>
  <si>
    <t xml:space="preserve">SOP-18-300mil</t>
  </si>
  <si>
    <t xml:space="preserve">C845537</t>
  </si>
  <si>
    <t xml:space="preserve">Transistor_Array:ULN2803A</t>
  </si>
  <si>
    <t xml:space="preserve">Package_SO:SOIC-18W_7.5x11.6mm_P1.27mm</t>
  </si>
  <si>
    <t xml:space="preserve">Eight-channel Darlington transistor array, 50 V, 500 mA per channel</t>
  </si>
  <si>
    <t xml:space="preserve">https://www.lcsc.com/datasheet/C845537.pdf</t>
  </si>
  <si>
    <t xml:space="preserve">Digital Temperature Sensor</t>
  </si>
  <si>
    <t xml:space="preserve">STLM75M2F</t>
  </si>
  <si>
    <t xml:space="preserve">SOIC-8</t>
  </si>
  <si>
    <t xml:space="preserve">C139728</t>
  </si>
  <si>
    <t xml:space="preserve">Sensor_Temperature:LM75B</t>
  </si>
  <si>
    <t xml:space="preserve">Package_SO:SOIC-8_3.9x4.9mm_P1.27mm</t>
  </si>
  <si>
    <t xml:space="preserve">STLM75 I2C/SMBus digital temperature sensor and thermal watchdog, -55 °C to +125 °C, ±2 °C</t>
  </si>
  <si>
    <t xml:space="preserve">https://www.lcsc.com/datasheet/C139728.pdf</t>
  </si>
  <si>
    <t xml:space="preserve">Diode</t>
  </si>
  <si>
    <t xml:space="preserve">PMEG2010ER,115</t>
  </si>
  <si>
    <t xml:space="preserve">SOD-123W</t>
  </si>
  <si>
    <t xml:space="preserve">C82288</t>
  </si>
  <si>
    <t xml:space="preserve">Diode:PMEG2010ER</t>
  </si>
  <si>
    <t xml:space="preserve">Diode_SMD:Nexperia_CFP3_SOD-123W</t>
  </si>
  <si>
    <t xml:space="preserve">Diode 1 Independent 20V 1A Surface Mount SOD-123W</t>
  </si>
  <si>
    <t xml:space="preserve">https://www.lcsc.com/datasheet/C82288.pdf</t>
  </si>
  <si>
    <t xml:space="preserve">SS320</t>
  </si>
  <si>
    <t xml:space="preserve">SMA(DO-214AC)</t>
  </si>
  <si>
    <t xml:space="preserve">C5122585</t>
  </si>
  <si>
    <t xml:space="preserve">Device:D</t>
  </si>
  <si>
    <t xml:space="preserve">Diode_SMD:D_SMA</t>
  </si>
  <si>
    <t xml:space="preserve">Diode Independent 200V 3A Surface Mount SMA(DO-214AC)</t>
  </si>
  <si>
    <t xml:space="preserve">https://www.lcsc.com/datasheet/C5122585.pdf</t>
  </si>
  <si>
    <t xml:space="preserve">EEPROM</t>
  </si>
  <si>
    <t xml:space="preserve">24C02S(XBLW)</t>
  </si>
  <si>
    <t xml:space="preserve">SOT23-5</t>
  </si>
  <si>
    <t xml:space="preserve">C18723540</t>
  </si>
  <si>
    <t xml:space="preserve">Memory_EEPROM:24AA02-OT</t>
  </si>
  <si>
    <t xml:space="preserve">Package_TO_SOT_SMD:SOT-23-5</t>
  </si>
  <si>
    <t xml:space="preserve">2 Kbit I²C serial EEPROM, 1.8–5.5 V (24C02 family)</t>
  </si>
  <si>
    <t xml:space="preserve">https://www.lcsc.com/datasheet/C18723540.pdf</t>
  </si>
  <si>
    <t xml:space="preserve">Fast-Recovery Rectifier</t>
  </si>
  <si>
    <t xml:space="preserve">US1M</t>
  </si>
  <si>
    <t xml:space="preserve">SMA</t>
  </si>
  <si>
    <t xml:space="preserve">C412437</t>
  </si>
  <si>
    <t xml:space="preserve">1 kV, 1 A fast-recovery rectifier, 75 ns</t>
  </si>
  <si>
    <t xml:space="preserve">https://www.lcsc.com/datasheet/C412437.pdf</t>
  </si>
  <si>
    <t xml:space="preserve">Female Header Connector</t>
  </si>
  <si>
    <t xml:space="preserve">2005FV-2x4P</t>
  </si>
  <si>
    <t xml:space="preserve">2x4 2mm pitch</t>
  </si>
  <si>
    <t xml:space="preserve">C18723066</t>
  </si>
  <si>
    <t xml:space="preserve">Connector_Generic:Conn_02x04_Odd_Even</t>
  </si>
  <si>
    <t xml:space="preserve">Connector_PinSocket_2.00mm:PinSocket_2x04_P2.00mm_Vertical</t>
  </si>
  <si>
    <t xml:space="preserve">8-position, dual-row, 2 mm-pitch through-hole female header, 1.5 A</t>
  </si>
  <si>
    <t xml:space="preserve">https://www.lcsc.com/datasheet/C18723066.pdf</t>
  </si>
  <si>
    <t xml:space="preserve">DW200R-22-06-45</t>
  </si>
  <si>
    <t xml:space="preserve">Through Hole, P=2mm</t>
  </si>
  <si>
    <t xml:space="preserve">C2935888</t>
  </si>
  <si>
    <t xml:space="preserve">Connector_Generic:Conn_02x03_Odd_Even</t>
  </si>
  <si>
    <t xml:space="preserve">Connector_PinSocket_2.00mm:PinSocket_2x03_P2.00mm_Vertical</t>
  </si>
  <si>
    <t xml:space="preserve">6-position, dual-row, 2 mm-pitch through-hole female header, 1.5 A</t>
  </si>
  <si>
    <t xml:space="preserve">Fuse</t>
  </si>
  <si>
    <t xml:space="preserve">0452002.MRL</t>
  </si>
  <si>
    <t xml:space="preserve">2410</t>
  </si>
  <si>
    <t xml:space="preserve">C142852</t>
  </si>
  <si>
    <t xml:space="preserve">Device:Fuse_Small</t>
  </si>
  <si>
    <t xml:space="preserve">LittleFuse:Fuse_Littelfuse_0452002_MRL_2410</t>
  </si>
  <si>
    <t xml:space="preserve">Littelfuse 2 A, 125 V time-lag surface-mount fuse, 2410</t>
  </si>
  <si>
    <t xml:space="preserve">https://www.lcsc.com/datasheet/C142852.pdf</t>
  </si>
  <si>
    <t xml:space="preserve">Indicator LED</t>
  </si>
  <si>
    <t xml:space="preserve">Green/Yellow Green</t>
  </si>
  <si>
    <t xml:space="preserve">0805</t>
  </si>
  <si>
    <t xml:space="preserve">C434435</t>
  </si>
  <si>
    <t xml:space="preserve">Device:LED</t>
  </si>
  <si>
    <t xml:space="preserve">LED_SMD:LED_0805_2012Metric</t>
  </si>
  <si>
    <t xml:space="preserve">Yellow-green indicator LED, 576 nm, 2.4 V</t>
  </si>
  <si>
    <t xml:space="preserve">https://www.lcsc.com/datasheet/C434435.pdf</t>
  </si>
  <si>
    <t xml:space="preserve">Ice Blue</t>
  </si>
  <si>
    <t xml:space="preserve">C965819</t>
  </si>
  <si>
    <t xml:space="preserve">Ice-blue indicator LED, 3.3 V</t>
  </si>
  <si>
    <t xml:space="preserve">https://www.lcsc.com/datasheet/C965819.pdf</t>
  </si>
  <si>
    <t xml:space="preserve">Red</t>
  </si>
  <si>
    <t xml:space="preserve">C84256</t>
  </si>
  <si>
    <t xml:space="preserve">Red indicator LED, 630 nm, 1.6 V to 2.6 V</t>
  </si>
  <si>
    <t xml:space="preserve">https://www.lcsc.com/datasheet/C84256.pdf</t>
  </si>
  <si>
    <t xml:space="preserve">White (yellow lens)</t>
  </si>
  <si>
    <t xml:space="preserve">SMD5050-6P</t>
  </si>
  <si>
    <t xml:space="preserve">C2843867</t>
  </si>
  <si>
    <t xml:space="preserve">Device:LED_RGB</t>
  </si>
  <si>
    <t xml:space="preserve">LED_SMD:LED_RGB_5050-6</t>
  </si>
  <si>
    <t xml:space="preserve">White indicator LED, six leads, yellow-coloured lens</t>
  </si>
  <si>
    <t xml:space="preserve">https://www.lcsc.com/datasheet/C2843867.pdf</t>
  </si>
  <si>
    <t xml:space="preserve">Inductor</t>
  </si>
  <si>
    <t xml:space="preserve">100u</t>
  </si>
  <si>
    <t xml:space="preserve">C128802</t>
  </si>
  <si>
    <t xml:space="preserve">Device:L</t>
  </si>
  <si>
    <t xml:space="preserve">Inductor_SMD:L_1206_3216Metric</t>
  </si>
  <si>
    <t xml:space="preserve">100 uH ±10% high-frequency fixed inductor</t>
  </si>
  <si>
    <t xml:space="preserve">https://www.lcsc.com/datasheet/C128802.pdf</t>
  </si>
  <si>
    <t xml:space="preserve">CDRH129RNP-330MC</t>
  </si>
  <si>
    <t xml:space="preserve">SMD,12x12mm</t>
  </si>
  <si>
    <t xml:space="preserve">C278365</t>
  </si>
  <si>
    <t xml:space="preserve">Sumida:L_CDRH129RNP-330MC</t>
  </si>
  <si>
    <t xml:space="preserve">4.25A 33uH ±20% 4A 39.3mΩ Magnetic Shielded Inductor SMD,12x12mm Fixed Inductors RoHS</t>
  </si>
  <si>
    <t xml:space="preserve">https://www.lcsc.com/datasheet/C278365.pdf</t>
  </si>
  <si>
    <t xml:space="preserve">Linear Voltage Regulator</t>
  </si>
  <si>
    <t xml:space="preserve">AMS1117-3.3</t>
  </si>
  <si>
    <t xml:space="preserve">SOT-223</t>
  </si>
  <si>
    <t xml:space="preserve">C5205141</t>
  </si>
  <si>
    <t xml:space="preserve">Regulator_Linear:AMS1117-3.3</t>
  </si>
  <si>
    <t xml:space="preserve">Package_TO_SOT_SMD:SOT-223-3_TabPin2</t>
  </si>
  <si>
    <t xml:space="preserve">Fixed 3.3 V low-dropout linear regulator</t>
  </si>
  <si>
    <t xml:space="preserve">https://www.lcsc.com/datasheet/C5205141.pdf</t>
  </si>
  <si>
    <t xml:space="preserve">C6186</t>
  </si>
  <si>
    <t xml:space="preserve">https://www.lcsc.com/datasheet/C6186.pdf</t>
  </si>
  <si>
    <t xml:space="preserve">AMS1117-5.0</t>
  </si>
  <si>
    <t xml:space="preserve">C6187</t>
  </si>
  <si>
    <t xml:space="preserve">Regulator_Linear:AMS1117-5.0</t>
  </si>
  <si>
    <t xml:space="preserve">Fixed 5 V low-dropout linear regulator</t>
  </si>
  <si>
    <t xml:space="preserve">https://www.lcsc.com/datasheet/C6187.pdf</t>
  </si>
  <si>
    <t xml:space="preserve">SOT-89</t>
  </si>
  <si>
    <t xml:space="preserve">C7473143</t>
  </si>
  <si>
    <t xml:space="preserve">Package_TO_SOT_SMD:SOT-89-3</t>
  </si>
  <si>
    <t xml:space="preserve">Linear Voltage Regulator IC Positive Fixed 1 Output 1A SOT-89</t>
  </si>
  <si>
    <t xml:space="preserve">Logic Buffer</t>
  </si>
  <si>
    <t xml:space="preserve">SN74AHCT125DR</t>
  </si>
  <si>
    <t xml:space="preserve">SOIC-14</t>
  </si>
  <si>
    <t xml:space="preserve">C155176</t>
  </si>
  <si>
    <t xml:space="preserve">74xx:74AHCT125</t>
  </si>
  <si>
    <t xml:space="preserve">Package_SO:SOIC-14_3.9x8.7mm_P1.27mm</t>
  </si>
  <si>
    <t xml:space="preserve">4.5V~5.5V 1 4 7.5ns@5V,50pF SOIC-14 Buffers, Drivers, Receivers, Transceivers RoHS</t>
  </si>
  <si>
    <t xml:space="preserve">https://www.lcsc.com/datasheet/C155176.pdf</t>
  </si>
  <si>
    <t xml:space="preserve">Male Header Connector</t>
  </si>
  <si>
    <t xml:space="preserve">2.54-1*20</t>
  </si>
  <si>
    <t xml:space="preserve">Through Hole, P=2.54mm</t>
  </si>
  <si>
    <t xml:space="preserve">C5156618</t>
  </si>
  <si>
    <t xml:space="preserve">Connector_Generic:Conn_01x20</t>
  </si>
  <si>
    <t xml:space="preserve">Connector_PinHeader_2.54mm:PinHeader_1x20_P2.54mm_Vertical</t>
  </si>
  <si>
    <t xml:space="preserve">20-position, single-row, 2.54 mm-pitch pin header</t>
  </si>
  <si>
    <t xml:space="preserve">https://www.lcsc.com/datasheet/C5156618.pdf</t>
  </si>
  <si>
    <t xml:space="preserve">Microcontroller</t>
  </si>
  <si>
    <t xml:space="preserve">CH32V003F4P6</t>
  </si>
  <si>
    <t xml:space="preserve">TSSOP-20-175mil</t>
  </si>
  <si>
    <t xml:space="preserve">C5187096</t>
  </si>
  <si>
    <t xml:space="preserve">MCU_WCH_RiscV:CH32V003FxPx</t>
  </si>
  <si>
    <t xml:space="preserve">Package_SO:TSSOP-20_4.4x6.5mm_P0.65mm</t>
  </si>
  <si>
    <t xml:space="preserve">RISC-V2A 32 Bit 48MHz TSSOP-20-175mil Microcontrollers </t>
  </si>
  <si>
    <t xml:space="preserve">https://www.lcsc.com/datasheet/C5187096.pdf</t>
  </si>
  <si>
    <t xml:space="preserve">CH32V003F4U6</t>
  </si>
  <si>
    <t xml:space="preserve">QFN-20(3X3)</t>
  </si>
  <si>
    <t xml:space="preserve">C5299908</t>
  </si>
  <si>
    <t xml:space="preserve">MCU_WCH_CH32V0:CH32V003FxUx</t>
  </si>
  <si>
    <t xml:space="preserve">Package_DFN_QFN:QFN-20-1EP_3x3mm_P0.4mm_EP1.65x1.65mm</t>
  </si>
  <si>
    <t xml:space="preserve">RISC-V2A 32 Bit 48MHz QFN-20(3X3) Microcontrollers </t>
  </si>
  <si>
    <t xml:space="preserve">https://www.lcsc.com/datasheet/C5299908.pdf</t>
  </si>
  <si>
    <t xml:space="preserve">N-Channel MOSFET</t>
  </si>
  <si>
    <t xml:space="preserve">HXY2102EI</t>
  </si>
  <si>
    <t xml:space="preserve">SOT-323</t>
  </si>
  <si>
    <t xml:space="preserve">C5148642</t>
  </si>
  <si>
    <t xml:space="preserve">Device:Q_NMOS_GDS</t>
  </si>
  <si>
    <t xml:space="preserve">Package_TO_SOT_SMD:SOT-323_SC-70</t>
  </si>
  <si>
    <t xml:space="preserve">N-channel MOSFET, 20 V, 2 A, 300 mW</t>
  </si>
  <si>
    <t xml:space="preserve">NAND Gate</t>
  </si>
  <si>
    <t xml:space="preserve">AIP74LVC1G00GB235.TR</t>
  </si>
  <si>
    <t xml:space="preserve">SOT-23-5</t>
  </si>
  <si>
    <t xml:space="preserve">C4945058</t>
  </si>
  <si>
    <t xml:space="preserve">74xGxx:74LVC1G00</t>
  </si>
  <si>
    <t xml:space="preserve">Single 2-input NAND gate, 1.65 V to 5.5 V</t>
  </si>
  <si>
    <t xml:space="preserve">https://www.lcsc.com/datasheet/C4945058.pdf</t>
  </si>
  <si>
    <t xml:space="preserve">P-Channel MOSFET</t>
  </si>
  <si>
    <t xml:space="preserve">AO3401A</t>
  </si>
  <si>
    <t xml:space="preserve">SOT-23</t>
  </si>
  <si>
    <t xml:space="preserve">C15127</t>
  </si>
  <si>
    <t xml:space="preserve">Transistor_FET:AO3401A</t>
  </si>
  <si>
    <t xml:space="preserve">Package_TO_SOT_SMD:SOT-23</t>
  </si>
  <si>
    <t xml:space="preserve">P-channel MOSFET, -30 V, -4 A</t>
  </si>
  <si>
    <t xml:space="preserve">https://www.lcsc.com/datasheet/C15127.pdf</t>
  </si>
  <si>
    <t xml:space="preserve">Phototransistor Optocoupler</t>
  </si>
  <si>
    <t xml:space="preserve">EL3H7</t>
  </si>
  <si>
    <t xml:space="preserve">SSOP-4-1.27mm</t>
  </si>
  <si>
    <t xml:space="preserve">C2891578</t>
  </si>
  <si>
    <t xml:space="preserve">Isolator:FODM217B</t>
  </si>
  <si>
    <t xml:space="preserve">Package_SO:SOP-4_4.4x2.6mm_P1.27mm</t>
  </si>
  <si>
    <t xml:space="preserve">Phototransistor optocoupler, 3.75 kVrms isolation, 80 V output, 50 mA</t>
  </si>
  <si>
    <t xml:space="preserve">https://www.everlighteurope.com/custom/files/datasheets/DPC-0000031.pdf</t>
  </si>
  <si>
    <t xml:space="preserve">PNP Bipolar Transistor</t>
  </si>
  <si>
    <t xml:space="preserve">2N3906</t>
  </si>
  <si>
    <t xml:space="preserve">C5300004</t>
  </si>
  <si>
    <t xml:space="preserve">Transistor_BJT:2N3906</t>
  </si>
  <si>
    <t xml:space="preserve">PNP bipolar transistor, 40 V, 200 mA, 250 MHz, 350 mW</t>
  </si>
  <si>
    <t xml:space="preserve">https://www.lcsc.com/datasheet/C5300004.pdf</t>
  </si>
  <si>
    <t xml:space="preserve">Power Inductor</t>
  </si>
  <si>
    <t xml:space="preserve">6R8</t>
  </si>
  <si>
    <t xml:space="preserve">IHLP-5050</t>
  </si>
  <si>
    <t xml:space="preserve">C499607</t>
  </si>
  <si>
    <t xml:space="preserve">Inductor_SMD:L_Vishay_IHLP-5050</t>
  </si>
  <si>
    <t xml:space="preserve">Vishay IHLP5050CEER6R8M01, 6.8 uH shielded power inductor</t>
  </si>
  <si>
    <t xml:space="preserve">https://www.lcsc.com/datasheet/C499607.pdf</t>
  </si>
  <si>
    <t xml:space="preserve">Quad Comparator</t>
  </si>
  <si>
    <t xml:space="preserve">LM339</t>
  </si>
  <si>
    <t xml:space="preserve">SO14</t>
  </si>
  <si>
    <t xml:space="preserve">C71036</t>
  </si>
  <si>
    <t xml:space="preserve">Comparator:LM339</t>
  </si>
  <si>
    <t xml:space="preserve">Quad voltage comparator, 1 mV input offset</t>
  </si>
  <si>
    <t xml:space="preserve">https://www.lcsc.com/datasheet/C71036.pdf</t>
  </si>
  <si>
    <t xml:space="preserve">Quad Operational Amplifier</t>
  </si>
  <si>
    <t xml:space="preserve">LM324</t>
  </si>
  <si>
    <t xml:space="preserve">C71035</t>
  </si>
  <si>
    <t xml:space="preserve">Amplifier_Operational:LM324</t>
  </si>
  <si>
    <t xml:space="preserve">Quad operational amplifier, 1.3 MHz gain bandwidth</t>
  </si>
  <si>
    <t xml:space="preserve">https://www.lcsc.com/datasheet/C71035.pdf</t>
  </si>
  <si>
    <t xml:space="preserve">Real-Time Clock</t>
  </si>
  <si>
    <t xml:space="preserve">DS1307ZN</t>
  </si>
  <si>
    <t xml:space="preserve">SOP-8</t>
  </si>
  <si>
    <t xml:space="preserve">C26858</t>
  </si>
  <si>
    <t xml:space="preserve">Timer_RTC:DS1307ZN+</t>
  </si>
  <si>
    <t xml:space="preserve">I2C real-time clock with external 32.768 kHz crystal and backup supply</t>
  </si>
  <si>
    <t xml:space="preserve">MCP7940M</t>
  </si>
  <si>
    <t xml:space="preserve">MSOP</t>
  </si>
  <si>
    <t xml:space="preserve">C636429</t>
  </si>
  <si>
    <t xml:space="preserve">Timer_RTC:MCP7940N-xMS</t>
  </si>
  <si>
    <t xml:space="preserve">Package_SO:MSOP-8_3x3mm_P0.65mm</t>
  </si>
  <si>
    <t xml:space="preserve">I2C real-time clock/calendar with alarms, 64-byte SRAM and digital trimming</t>
  </si>
  <si>
    <t xml:space="preserve">Resistor</t>
  </si>
  <si>
    <t xml:space="preserve">0R</t>
  </si>
  <si>
    <t xml:space="preserve">C19290</t>
  </si>
  <si>
    <t xml:space="preserve">Device:R</t>
  </si>
  <si>
    <t xml:space="preserve">Resistor_SMD:R_1206_3216Metric</t>
  </si>
  <si>
    <t xml:space="preserve">0 ohm jumper resistor, ±5%, 250 mW</t>
  </si>
  <si>
    <t xml:space="preserve">https://www.lcsc.com/datasheet/C19290.pdf</t>
  </si>
  <si>
    <t xml:space="preserve">1.2K</t>
  </si>
  <si>
    <t xml:space="preserve">C17891</t>
  </si>
  <si>
    <t xml:space="preserve">1.2 kohm thick-film resistor, ±1%, 250 mW</t>
  </si>
  <si>
    <t xml:space="preserve">https://www.lcsc.com/datasheet/C17891.pdf</t>
  </si>
  <si>
    <t xml:space="preserve">1.8K</t>
  </si>
  <si>
    <t xml:space="preserve">C2907418</t>
  </si>
  <si>
    <t xml:space="preserve">1.8 kohm thick-film resistor, ±5%, 250 mW</t>
  </si>
  <si>
    <t xml:space="preserve">100K</t>
  </si>
  <si>
    <t xml:space="preserve">C25803</t>
  </si>
  <si>
    <t xml:space="preserve">Resistor_SMD:R_0603_1608Metric</t>
  </si>
  <si>
    <t xml:space="preserve">100 kohm thick-film resistor, ±1%, 100 mW</t>
  </si>
  <si>
    <t xml:space="preserve">https://www.lcsc.com/datasheet/C25803.pdf</t>
  </si>
  <si>
    <t xml:space="preserve">100R ±1%</t>
  </si>
  <si>
    <t xml:space="preserve">C17901</t>
  </si>
  <si>
    <t xml:space="preserve">100 ohm thick-film resistor, ±1%, 250 mW</t>
  </si>
  <si>
    <t xml:space="preserve">https://www.lcsc.com/datasheet/C17901.pdf</t>
  </si>
  <si>
    <t xml:space="preserve">100R ±5%</t>
  </si>
  <si>
    <t xml:space="preserve">C118845</t>
  </si>
  <si>
    <t xml:space="preserve">100 ohm thick-film resistor, ±5%, 250 mW</t>
  </si>
  <si>
    <t xml:space="preserve">https://www.lcsc.com/datasheet/C118845.pdf</t>
  </si>
  <si>
    <t xml:space="preserve">10K</t>
  </si>
  <si>
    <t xml:space="preserve">C17902</t>
  </si>
  <si>
    <t xml:space="preserve">10 kohm thick-film resistor, ±1%, 250 mW</t>
  </si>
  <si>
    <t xml:space="preserve">https://www.lcsc.com/datasheet/C17902.pdf</t>
  </si>
  <si>
    <t xml:space="preserve">1206W4F3302T5E</t>
  </si>
  <si>
    <t xml:space="preserve">C18004</t>
  </si>
  <si>
    <t xml:space="preserve">33kΩ ±1% 250mW 1206 Thick Film Resistor</t>
  </si>
  <si>
    <t xml:space="preserve">1K</t>
  </si>
  <si>
    <t xml:space="preserve">C4410</t>
  </si>
  <si>
    <t xml:space="preserve">1 kohm thick-film resistor, ±1%, 250 mW</t>
  </si>
  <si>
    <t xml:space="preserve">https://www.lcsc.com/datasheet/C4410.pdf</t>
  </si>
  <si>
    <t xml:space="preserve">1K ±5%</t>
  </si>
  <si>
    <t xml:space="preserve">C1469</t>
  </si>
  <si>
    <t xml:space="preserve">1 kohm thick-film resistor, ±5%, 250 mW</t>
  </si>
  <si>
    <t xml:space="preserve">https://www.lcsc.com/datasheet/C1469.pdf</t>
  </si>
  <si>
    <t xml:space="preserve">2.2K</t>
  </si>
  <si>
    <t xml:space="preserve">C4190</t>
  </si>
  <si>
    <t xml:space="preserve">2.2kΩ ±1% 100mW 0603 Thick Film Resistor</t>
  </si>
  <si>
    <t xml:space="preserve">https://www.lcsc.com/datasheet/C4190.pdf</t>
  </si>
  <si>
    <t xml:space="preserve">220K</t>
  </si>
  <si>
    <t xml:space="preserve">C3017363</t>
  </si>
  <si>
    <t xml:space="preserve">220 kohm thick-film resistor, ±1%, 250 mW, 200 V</t>
  </si>
  <si>
    <t xml:space="preserve">https://www.lcsc.com/datasheet/C3017363.pdf</t>
  </si>
  <si>
    <t xml:space="preserve">220R</t>
  </si>
  <si>
    <t xml:space="preserve">C22962</t>
  </si>
  <si>
    <t xml:space="preserve">220 ohm thick-film resistor, ±1%, 100 mW</t>
  </si>
  <si>
    <t xml:space="preserve">https://www.lcsc.com/datasheet/C22962.pdf</t>
  </si>
  <si>
    <t xml:space="preserve">270R</t>
  </si>
  <si>
    <t xml:space="preserve">C2930362</t>
  </si>
  <si>
    <t xml:space="preserve">270 ohm thick-film resistor, ±5%, 250 mW</t>
  </si>
  <si>
    <t xml:space="preserve">2K</t>
  </si>
  <si>
    <t xml:space="preserve">C163892</t>
  </si>
  <si>
    <t xml:space="preserve">2 kohm thick-film resistor, ±1%, 100 mW, 75 V</t>
  </si>
  <si>
    <t xml:space="preserve">3.9K</t>
  </si>
  <si>
    <t xml:space="preserve">C2907474</t>
  </si>
  <si>
    <t xml:space="preserve">3.9 kohm thick-film resistor, ±5%, 250 mW</t>
  </si>
  <si>
    <t xml:space="preserve">330R</t>
  </si>
  <si>
    <t xml:space="preserve">C2933675</t>
  </si>
  <si>
    <t xml:space="preserve">330 ohm thick-film resistor, ±1%, 250 mW</t>
  </si>
  <si>
    <t xml:space="preserve">360R</t>
  </si>
  <si>
    <t xml:space="preserve">C2933683</t>
  </si>
  <si>
    <t xml:space="preserve">360 ohm ±1% thick-film resistor, 1206</t>
  </si>
  <si>
    <t xml:space="preserve">4.7K</t>
  </si>
  <si>
    <t xml:space="preserve">C17936</t>
  </si>
  <si>
    <t xml:space="preserve">4.7 kohm thick-film resistor, ±1%, 250 mW</t>
  </si>
  <si>
    <t xml:space="preserve">https://www.lcsc.com/datasheet/C17936.pdf</t>
  </si>
  <si>
    <t xml:space="preserve">C23162</t>
  </si>
  <si>
    <t xml:space="preserve">4.7 kohm thick-film resistor, ±1%, 100 mW</t>
  </si>
  <si>
    <t xml:space="preserve">https://www.lcsc.com/datasheet/C23162.pdf</t>
  </si>
  <si>
    <t xml:space="preserve">470R</t>
  </si>
  <si>
    <t xml:space="preserve">C23179</t>
  </si>
  <si>
    <t xml:space="preserve">470Ω ±1% 100mW 0603 Thick Film Resistor</t>
  </si>
  <si>
    <t xml:space="preserve">https://www.lcsc.com/datasheet/C23179.pdf</t>
  </si>
  <si>
    <t xml:space="preserve">47R</t>
  </si>
  <si>
    <t xml:space="preserve">2512</t>
  </si>
  <si>
    <t xml:space="preserve">C3013388</t>
  </si>
  <si>
    <t xml:space="preserve">Resistor_SMD:R_2512_6332Metric</t>
  </si>
  <si>
    <t xml:space="preserve">47 ohm thick-film resistor, ±5%, 2 W, 200 V</t>
  </si>
  <si>
    <t xml:space="preserve">6.8K</t>
  </si>
  <si>
    <t xml:space="preserve">C26034</t>
  </si>
  <si>
    <t xml:space="preserve">6.8 kohm thick-film resistor, ±1%, 250 mW</t>
  </si>
  <si>
    <t xml:space="preserve">https://www.lcsc.com/datasheet/C26034.pdf</t>
  </si>
  <si>
    <t xml:space="preserve">CL0603FN4K3P</t>
  </si>
  <si>
    <t xml:space="preserve">C48391830</t>
  </si>
  <si>
    <t xml:space="preserve">4.3kΩ ±1% 100mW 0603 Thick Film Resistor</t>
  </si>
  <si>
    <t xml:space="preserve">FRC0603F1802TS</t>
  </si>
  <si>
    <t xml:space="preserve">C2907001</t>
  </si>
  <si>
    <t xml:space="preserve">18kΩ ±1% 100mW 0603 Thick Film Resistor</t>
  </si>
  <si>
    <t xml:space="preserve">https://www.lcsc.com/datasheet/C2907001.pdf</t>
  </si>
  <si>
    <t xml:space="preserve">FRC1206F3001TS</t>
  </si>
  <si>
    <t xml:space="preserve">C2930427</t>
  </si>
  <si>
    <t xml:space="preserve">3kΩ ±1% 250mW 1206 Thick Film Resistor</t>
  </si>
  <si>
    <t xml:space="preserve">https://www.lcsc.com/datasheet/C2930427.pdf</t>
  </si>
  <si>
    <t xml:space="preserve">RMC120624.9K1%N</t>
  </si>
  <si>
    <t xml:space="preserve">C269612</t>
  </si>
  <si>
    <t xml:space="preserve">24.9kΩ ±1% 250mW 1206 Thick Film Resistor</t>
  </si>
  <si>
    <t xml:space="preserve">RS-485 Transceiver</t>
  </si>
  <si>
    <t xml:space="preserve">SN65HVD72DR</t>
  </si>
  <si>
    <t xml:space="preserve">C48125</t>
  </si>
  <si>
    <t xml:space="preserve">Interface_UART:MAX3483</t>
  </si>
  <si>
    <t xml:space="preserve">Texas Instruments SN65HVD72 RS-485 differential transceiver</t>
  </si>
  <si>
    <t xml:space="preserve">https://www.lcsc.com/datasheet/C48125.pdf</t>
  </si>
  <si>
    <t xml:space="preserve">SP3485EEN</t>
  </si>
  <si>
    <t xml:space="preserve">C668205</t>
  </si>
  <si>
    <t xml:space="preserve">Interface_UART:SP3485EN</t>
  </si>
  <si>
    <t xml:space="preserve">2.97V~3.63V Transceiver 12Mbps 256 SOP-8 Drivers, Receivers, Transceivers RoHS</t>
  </si>
  <si>
    <t xml:space="preserve">https://www.lcsc.com/datasheet/C668205.pdf</t>
  </si>
  <si>
    <t xml:space="preserve">SP485EEN-L/TR</t>
  </si>
  <si>
    <t xml:space="preserve">C6855</t>
  </si>
  <si>
    <t xml:space="preserve">5 V, 10 Mbps half-duplex RS-485/RS-422 transceiver</t>
  </si>
  <si>
    <t xml:space="preserve">https://www.lcsc.com/datasheet/C6855.pdf</t>
  </si>
  <si>
    <t xml:space="preserve">Schottky Rectifier</t>
  </si>
  <si>
    <t xml:space="preserve">DSK24</t>
  </si>
  <si>
    <t xml:space="preserve">SOD-123</t>
  </si>
  <si>
    <t xml:space="preserve">C908229</t>
  </si>
  <si>
    <t xml:space="preserve">Device:D_Schottky</t>
  </si>
  <si>
    <t xml:space="preserve">Diode_SMD:D_SOD-123</t>
  </si>
  <si>
    <t xml:space="preserve">40 V, 2 A Schottky rectifier</t>
  </si>
  <si>
    <t xml:space="preserve">https://www.lcsc.com/datasheet/C908229.pdf</t>
  </si>
  <si>
    <t xml:space="preserve">MBR120</t>
  </si>
  <si>
    <t xml:space="preserve">C130880</t>
  </si>
  <si>
    <t xml:space="preserve">20 V, 1 A Schottky rectifier</t>
  </si>
  <si>
    <t xml:space="preserve">https://www.lcsc.com/datasheet/C130880.pdf</t>
  </si>
  <si>
    <t xml:space="preserve">Shift Register</t>
  </si>
  <si>
    <t xml:space="preserve">74HC595</t>
  </si>
  <si>
    <t xml:space="preserve">SOP-16</t>
  </si>
  <si>
    <t xml:space="preserve">C5144558</t>
  </si>
  <si>
    <t xml:space="preserve">74xx:74HC595</t>
  </si>
  <si>
    <t xml:space="preserve">Package_SO:SOIC-16_3.9x9.9mm_P1.27mm</t>
  </si>
  <si>
    <t xml:space="preserve">8-bit serial-in/parallel-out shift register with output latch, 2 V to 6 V</t>
  </si>
  <si>
    <t xml:space="preserve">https://www.lcsc.com/datasheet/C5144558.pdf</t>
  </si>
  <si>
    <t xml:space="preserve">SOIC-16</t>
  </si>
  <si>
    <t xml:space="preserve">C5947</t>
  </si>
  <si>
    <t xml:space="preserve">https://www.lcsc.com/datasheet/C5947.pdf</t>
  </si>
  <si>
    <t xml:space="preserve">SPI NOR Flash Memory</t>
  </si>
  <si>
    <t xml:space="preserve">W25Q128JVSIQ</t>
  </si>
  <si>
    <t xml:space="preserve">C97521</t>
  </si>
  <si>
    <t xml:space="preserve">Memory_Flash:W25Q128JVS</t>
  </si>
  <si>
    <t xml:space="preserve">Package_SO:SOIC-8_5.3x5.3mm_P1.27mm</t>
  </si>
  <si>
    <t xml:space="preserve">128 Mbit SPI NOR flash memory, 2.7 V to 3.6 V, up to 133 MHz</t>
  </si>
  <si>
    <t xml:space="preserve">https://www.lcsc.com/datasheet/C97521.pdf</t>
  </si>
  <si>
    <t xml:space="preserve">Switching Diode</t>
  </si>
  <si>
    <t xml:space="preserve">1N4148W-7-F</t>
  </si>
  <si>
    <t xml:space="preserve">C83528</t>
  </si>
  <si>
    <t xml:space="preserve">100 V, 300 mA high-speed switching diode</t>
  </si>
  <si>
    <t xml:space="preserve">https://www.lcsc.com/datasheet/C83528.pdf</t>
  </si>
  <si>
    <t xml:space="preserve">Tactile Switch</t>
  </si>
  <si>
    <t xml:space="preserve">TS-1187A-B-A-B</t>
  </si>
  <si>
    <t xml:space="preserve">SMD-4P,5.1x5.1mm</t>
  </si>
  <si>
    <t xml:space="preserve">C318884</t>
  </si>
  <si>
    <t xml:space="preserve">Switch:SW_Push</t>
  </si>
  <si>
    <t xml:space="preserve">Button_Switch_SMD:SW_SPST_TL3342</t>
  </si>
  <si>
    <t xml:space="preserve">SPST momentary tactile switch, 160 gf operating force, 1.5 mm travel</t>
  </si>
  <si>
    <t xml:space="preserve">https://www.lcsc.com/datasheet/C318884.pdf</t>
  </si>
  <si>
    <t xml:space="preserve">Terminal Block</t>
  </si>
  <si>
    <t xml:space="preserve">XY308-2.54-2P</t>
  </si>
  <si>
    <t xml:space="preserve">C557685</t>
  </si>
  <si>
    <t xml:space="preserve">Connector:Screw_Terminal_01x02</t>
  </si>
  <si>
    <t xml:space="preserve">TerminalBlock_Phoenix:TerminalBlock_Phoenix_MPT-0,5-2-2.54_1x02_P2.54mm_Horizontal</t>
  </si>
  <si>
    <t xml:space="preserve">2-position, 2.54 mm-pitch wire-to-board terminal block</t>
  </si>
  <si>
    <t xml:space="preserve">https://www.lcsc.com/datasheet/C557685.pdf</t>
  </si>
  <si>
    <t xml:space="preserve">Terminal connector</t>
  </si>
  <si>
    <t xml:space="preserve">TY308-2.54-02P-14-00AH</t>
  </si>
  <si>
    <t xml:space="preserve">Through Hole,P=2.54mm</t>
  </si>
  <si>
    <t xml:space="preserve">C2840316</t>
  </si>
  <si>
    <t xml:space="preserve">2 Position Wire to Board Terminal Block Through Hole 2.54mm</t>
  </si>
  <si>
    <t xml:space="preserve">https://www.lcsc.com/datasheet/C2840316.pdf</t>
  </si>
  <si>
    <t xml:space="preserve">TY308-2.54-03P-14-00AH</t>
  </si>
  <si>
    <t xml:space="preserve">C2840317</t>
  </si>
  <si>
    <t xml:space="preserve">Connector:Screw_Terminal_01x03</t>
  </si>
  <si>
    <t xml:space="preserve">TerminalBlock_Phoenix:TerminalBlock_Phoenix_MPT-0,5-3-2.54_1x03_P2.54mm_Horizontal</t>
  </si>
  <si>
    <t xml:space="preserve">3 Position Wire to Board Terminal Block Through Hole 2.54mm</t>
  </si>
  <si>
    <t xml:space="preserve">https://www.lcsc.com/datasheet/C2840317.pdf</t>
  </si>
  <si>
    <t xml:space="preserve">TY308-2.54-04P-14-00AH</t>
  </si>
  <si>
    <t xml:space="preserve">C2840318</t>
  </si>
  <si>
    <t xml:space="preserve">Connector:Screw_Terminal_01x04</t>
  </si>
  <si>
    <t xml:space="preserve">TerminalBlock_Phoenix:TerminalBlock_Phoenix_MPT-0,5-4-2.54_1x04_P2.54mm_Horizontal</t>
  </si>
  <si>
    <t xml:space="preserve">4 Position Wire to Board Terminal Block Through Hole 2.54mm</t>
  </si>
  <si>
    <t xml:space="preserve">https://www.lcsc.com/datasheet/C2840318.pdf</t>
  </si>
  <si>
    <t xml:space="preserve">Timer/Oscillator</t>
  </si>
  <si>
    <t xml:space="preserve">C2928791</t>
  </si>
  <si>
    <t xml:space="preserve">Timer:ICM7555xB</t>
  </si>
  <si>
    <t xml:space="preserve">CMOS 555-compatible programmable timer and oscillator</t>
  </si>
  <si>
    <t xml:space="preserve">Transistor</t>
  </si>
  <si>
    <t xml:space="preserve">MMBT3904</t>
  </si>
  <si>
    <t xml:space="preserve">C20526</t>
  </si>
  <si>
    <t xml:space="preserve">Transistor_BJT:MMBT3904</t>
  </si>
  <si>
    <t xml:space="preserve">Bipolar (BJT) Transistor NPN 40V 200mA 300MHz 200mW </t>
  </si>
  <si>
    <t xml:space="preserve">https://www.lcsc.com/datasheet/C20526.pdf</t>
  </si>
  <si>
    <t xml:space="preserve">MMBT3906</t>
  </si>
  <si>
    <t xml:space="preserve">C2143</t>
  </si>
  <si>
    <t xml:space="preserve">Transistor_BJT:MMBT3906</t>
  </si>
  <si>
    <t xml:space="preserve">Bipolar (BJT) Transistor PNP 40V 0.2A 300MHz 0.2W</t>
  </si>
  <si>
    <t xml:space="preserve">https://www.lcsc.com/datasheet/C2143.pdf</t>
  </si>
  <si>
    <t xml:space="preserve">TRIAC</t>
  </si>
  <si>
    <t xml:space="preserve">BT136-800E</t>
  </si>
  <si>
    <t xml:space="preserve">TO-252</t>
  </si>
  <si>
    <t xml:space="preserve">C2831691</t>
  </si>
  <si>
    <t xml:space="preserve">Device:Q_TRIAC_A1A2G</t>
  </si>
  <si>
    <t xml:space="preserve">Package_TO_SOT_SMD:TO-252-2</t>
  </si>
  <si>
    <t xml:space="preserve">800 V, 4 A bidirectional TRIAC</t>
  </si>
  <si>
    <t xml:space="preserve">https://www.lcsc.com/datasheet/C2831691.pdf</t>
  </si>
  <si>
    <t xml:space="preserve">TVS Diode</t>
  </si>
  <si>
    <t xml:space="preserve">SMAJ48CA</t>
  </si>
  <si>
    <t xml:space="preserve">DO-214AC</t>
  </si>
  <si>
    <t xml:space="preserve">C173501</t>
  </si>
  <si>
    <t xml:space="preserve">Device:D_TVS</t>
  </si>
  <si>
    <t xml:space="preserve">Bidirectional 48 V TVS diode, 77.4 V clamp, 5.2 A peak pulse current</t>
  </si>
  <si>
    <t xml:space="preserve">https://www.lcsc.com/datasheet/C173501.pdf</t>
  </si>
  <si>
    <t xml:space="preserve">USB-C Receptacle</t>
  </si>
  <si>
    <t xml:space="preserve">U262-061N-4BVC11</t>
  </si>
  <si>
    <t xml:space="preserve">SMD</t>
  </si>
  <si>
    <t xml:space="preserve">C2764612</t>
  </si>
  <si>
    <t xml:space="preserve">Connector:USB_C_Receptacle_PowerOnly_6P</t>
  </si>
  <si>
    <t xml:space="preserve">Connector_USB:USB_C_Receptacle_GCT_USB4125-xx-x_6P_TopMnt_Horizontal</t>
  </si>
  <si>
    <t xml:space="preserve">6-contact USB Type-C receptacle</t>
  </si>
  <si>
    <t xml:space="preserve">Watchdog Timer</t>
  </si>
  <si>
    <t xml:space="preserve">STWD100</t>
  </si>
  <si>
    <t xml:space="preserve">C46043</t>
  </si>
  <si>
    <t xml:space="preserve">STWD100_Custom:STWD100NYWY3F</t>
  </si>
  <si>
    <t xml:space="preserve">210 ms active-low watchdog timer, 2.7 V to 5.5 V</t>
  </si>
  <si>
    <t xml:space="preserve">https://www.lcsc.com/datasheet/C46043.pdf</t>
  </si>
  <si>
    <t xml:space="preserve">Zener Diode</t>
  </si>
  <si>
    <t xml:space="preserve">3V3</t>
  </si>
  <si>
    <t xml:space="preserve">C177019</t>
  </si>
  <si>
    <t xml:space="preserve">Diode:BZX84Cxx</t>
  </si>
  <si>
    <t xml:space="preserve">Diode_SMD:D_SOT-23_ANK</t>
  </si>
  <si>
    <t xml:space="preserve">3.3 V Zener diode, 350 mW, 3.1 V to 3.5 V tolerance range</t>
  </si>
  <si>
    <t xml:space="preserve">Zero-Cross TRIAC Optocoupler</t>
  </si>
  <si>
    <t xml:space="preserve">MOC3063S</t>
  </si>
  <si>
    <t xml:space="preserve">SOP-6</t>
  </si>
  <si>
    <t xml:space="preserve">C20612462</t>
  </si>
  <si>
    <t xml:space="preserve">Relay_SolidState:MOC3063M </t>
  </si>
  <si>
    <t xml:space="preserve">Package_DIP:SMDIP-6_W9.53mm</t>
  </si>
  <si>
    <t xml:space="preserve">Zero-cross TRIAC-output optocoupler, 600 V, 100 mA, 1 kV/us static dV/dt</t>
  </si>
  <si>
    <t xml:space="preserve">https://www.lcsc.com/datasheet/C20612462.pdf</t>
  </si>
  <si>
    <t xml:space="preserve">Verification &amp; reconciliation notes</t>
  </si>
  <si>
    <t xml:space="preserve">Basis</t>
  </si>
  <si>
    <t xml:space="preserve">Original master stock + receipts from orders WM2610270663 and WM2610290613; historic orders already reflected in stock and not counted twice.</t>
  </si>
  <si>
    <t xml:space="preserve">Stock timing</t>
  </si>
  <si>
    <t xml:space="preserve">Final stock after delivery of the two newest orders, as requested.</t>
  </si>
  <si>
    <t xml:space="preserve">LCSC datasheets</t>
  </si>
  <si>
    <t xml:space="preserve">Only links whose LCSC datasheet viewer was verified for the code are populated. Blank means not confirmed, not proof the datasheet does not exist.</t>
  </si>
  <si>
    <t xml:space="preserve">KiCad names</t>
  </si>
  <si>
    <t xml:space="preserve">Only KiCad 10 library identifiers confirmed to exist, with match checked where possible. Empty values mean no reliable exact mapping; do not substitute blindly.</t>
  </si>
  <si>
    <t xml:space="preserve">Qty Set 1 / Set 2</t>
  </si>
  <si>
    <t xml:space="preserve">Existing stock allocations preserved; newly received units booked as separate stock set when possible.</t>
  </si>
  <si>
    <t xml:space="preserve">Previously blank quantities</t>
  </si>
  <si>
    <t xml:space="preserve">No historic purchases have been converted into assumed current stock when master stock was blank.</t>
  </si>
  <si>
    <t xml:space="preserve">Non-LCSC stock-only parts</t>
  </si>
  <si>
    <t xml:space="preserve">Preserved even when missing from supplied historic order CSVs.</t>
  </si>
  <si>
    <t xml:space="preserve">Updated unique LCSC SKUs</t>
  </si>
  <si>
    <t xml:space="preserve">New SKUs</t>
  </si>
  <si>
    <t xml:space="preserve">New receipts (pieces)</t>
  </si>
  <si>
    <t xml:space="preserve">Verified LCSC datasheet links</t>
  </si>
  <si>
    <t xml:space="preserve">KiCad symbols populated</t>
  </si>
  <si>
    <t xml:space="preserve">KiCad footprints populated</t>
  </si>
  <si>
    <t xml:space="preserve">Entries with some unverified enrichment</t>
  </si>
  <si>
    <t xml:space="preserve">Check / correction</t>
  </si>
  <si>
    <t xml:space="preserve">Details</t>
  </si>
  <si>
    <t xml:space="preserve">New SKU, latest order</t>
  </si>
  <si>
    <t xml:space="preserve">Added stock of 300 units from ABS210.</t>
  </si>
  <si>
    <t xml:space="preserve">Verified correction</t>
  </si>
  <si>
    <t xml:space="preserve">Updated from ('SRRS75M2F', 'SOIC-8', 'STLM75 I2C/SMBus digital temperature sensor and thermal watchdog, -55 °C to +125 °C, ±2 °C') to ('STLM75M2F', 'SOIC-8', 'STLM75 I2C/SMBus digital temperature sensor and thermal watchdog, -55 °C to +125 °C, ±2 °C'); source: ordered manufacturer part and/or LCSC specifications.</t>
  </si>
  <si>
    <t xml:space="preserve">Added stock of 20 units from 0452002.MRL.</t>
  </si>
  <si>
    <t xml:space="preserve">Updated from ('AO3401A', 'SOT-323', 'P-channel MOSFET, -30 V, -4 A') to ('AO3401A', 'SOT-23', 'P-channel MOSFET, -30 V, -4 A'); source: ordered manufacturer part and/or LCSC specifications.</t>
  </si>
  <si>
    <t xml:space="preserve">C17901 / C118845</t>
  </si>
  <si>
    <t xml:space="preserve">Corrected composite SKU</t>
  </si>
  <si>
    <t xml:space="preserve">Split 1000 pcs at C17901 (1% tolerance) and 1000 pcs at C118845 (5%) based on separate ordered line items and existing Set 1 / Set 2 stock.</t>
  </si>
  <si>
    <t xml:space="preserve">Added stock of 1000 units from 24C02S(XBLW).</t>
  </si>
  <si>
    <t xml:space="preserve">Added stock of 60 units from 1210B475K101NT.</t>
  </si>
  <si>
    <t xml:space="preserve">Latest order received</t>
  </si>
  <si>
    <t xml:space="preserve">Added 300 units; previous total 1000, final total 1300.</t>
  </si>
  <si>
    <t xml:space="preserve">Manufacturer part text differs</t>
  </si>
  <si>
    <t xml:space="preserve">Earlier order says XL-5050RGBC-WS2812B; latest order says XL-5050RGBC-2812B for the same LCSC C2843785. Current SKU kept as latest order name. Confirm pin orientation against the exact batch before PCB design.</t>
  </si>
  <si>
    <t xml:space="preserve">Pinout matched</t>
  </si>
  <si>
    <t xml:space="preserve">XINGLIGHT datasheet pin numbers 1=VDD, 2=DO, 3=GND, 4=DI match KiCad WS2812B library pad numbering.</t>
  </si>
  <si>
    <t xml:space="preserve">Updated from ('WS2812B', '5050', 'WS2812B-compatible individually addressable RGB LED with integrated driver') to ('XL-5050RGBC-2812B', 'SMD5050-4P', 'WS2812B-compatible individually addressable RGB LED with integrated driver'); source: ordered manufacturer part and/or LCSC specifications.</t>
  </si>
  <si>
    <t xml:space="preserve">Updated from ('Yellow', '5050', 'White indicator LED, 3.4 V, six leads') to ('White (yellow lens)', 'SMD5050-6P', 'White indicator LED, six leads, yellow-coloured lens'); source: ordered manufacturer part and/or LCSC specifications.</t>
  </si>
  <si>
    <t xml:space="preserve">Updated from ('FRC0603F1802TS', 603, '18kΩ ±1% 100mW 0603 Thick Film Resistor') to ('FRC0603F1802TS', '0603', '18kΩ ±1% 100mW 0603 Thick Film Resistor'); source: ordered manufacturer part and/or LCSC specifications.</t>
  </si>
  <si>
    <t xml:space="preserve">Added stock of 100 units from FRC1206F3600TS.</t>
  </si>
  <si>
    <t xml:space="preserve">Updated from ('LM2576S-12', 'TO-263', 'Fixed 12 V, 3 A step-down switching regulator') to ('LM2576S-12', 'TO-263-5', 'Fixed 12 V, 3 A step-down switching regulator'); source: ordered manufacturer part and/or LCSC specifications.</t>
  </si>
  <si>
    <t xml:space="preserve">Updated from ('USM1', 'SMA', '1 kV, 1 A fast-recovery rectifier, 75 ns') to ('US1M', 'SMA', '1 kV, 1 A fast-recovery rectifier, 75 ns'); source: ordered manufacturer part and/or LCSC specifications.</t>
  </si>
  <si>
    <t xml:space="preserve">Added stock of 2 units from SN65HVD72DR.</t>
  </si>
  <si>
    <t xml:space="preserve">Updated from ('CL0603FN4K3P', 603, '4.3kΩ ±1% 100mW 0603 Thick Film Resistor') to ('CL0603FN4K3P', '0603', '4.3kΩ ±1% 100mW 0603 Thick Film Resistor'); source: ordered manufacturer part and/or LCSC specifications.</t>
  </si>
  <si>
    <t xml:space="preserve">Added stock of 100 units from FCC0603N180J500CT.</t>
  </si>
  <si>
    <t xml:space="preserve">Removed duplicate</t>
  </si>
  <si>
    <t xml:space="preserve">Two identical 100-piece LMR38020 rows in master; only one 100-piece order exists, so kept one row with 100 total.</t>
  </si>
  <si>
    <t xml:space="preserve">Added stock of 100 units from 3225 24M 12PF 10PPM.</t>
  </si>
  <si>
    <t xml:space="preserve">Added 200 units; previous total 10, final total 210.</t>
  </si>
  <si>
    <t xml:space="preserve">Added 50 units; previous total 40, final total 90.</t>
  </si>
  <si>
    <t xml:space="preserve">Updated from ('1000u', 'D16x26mm', '63V ±20% 1000uF 54mΩ@100kHz Through Hole,D16xL26mm Aluminum Electrolytic Capacitors RoHS') to ('1000u', 'THT D16xL26mm P7.5mm', '63V ±20% 1000uF 54mΩ@100kHz Through Hole,D16xL26mm Aluminum Electrolytic Capacitors RoHS'); source: ordered manufacturer part and/or LCSC specifications.</t>
  </si>
  <si>
    <t xml:space="preserve">Updated from ('Green', '0805', 'Ice-blue indicator LED, 3.3 V') to ('Ice Blue', '0805', 'Ice-blue indicator LED, 3.3 V'); source: ordered manufacturer part and/or LCSC specifications.</t>
  </si>
  <si>
    <t xml:space="preserve">Unverified / requires exact matching</t>
  </si>
  <si>
    <t xml:space="preserve">LCSC product page</t>
  </si>
  <si>
    <t xml:space="preserve">LCSC datasheet link unverified, exact KiCad symbol unverified, matching KiCad footprint unverified</t>
  </si>
  <si>
    <t xml:space="preserve">https://www.lcsc.com/product-detail/C6969504.html</t>
  </si>
  <si>
    <t xml:space="preserve">exact KiCad symbol unverified, matching KiCad footprint unverified</t>
  </si>
  <si>
    <t xml:space="preserve">https://www.lcsc.com/product-detail/C123897.html</t>
  </si>
  <si>
    <t xml:space="preserve">https://www.lcsc.com/product-detail/C5149193.html</t>
  </si>
  <si>
    <t xml:space="preserve">matching KiCad footprint unverified</t>
  </si>
  <si>
    <t xml:space="preserve">https://www.lcsc.com/product-detail/C239251.html</t>
  </si>
  <si>
    <t xml:space="preserve">https://www.lcsc.com/product-detail/C3445233.html</t>
  </si>
  <si>
    <t xml:space="preserve">https://www.lcsc.com/product-detail/C46638858.html</t>
  </si>
  <si>
    <t xml:space="preserve">https://www.lcsc.com/product-detail/C4747972.html</t>
  </si>
  <si>
    <t xml:space="preserve">LCSC datasheet link unverified, matching KiCad footprint unverified</t>
  </si>
  <si>
    <t xml:space="preserve">https://www.lcsc.com/product-detail/C700860.html</t>
  </si>
  <si>
    <t xml:space="preserve">https://www.lcsc.com/product-detail/C4747974.html</t>
  </si>
  <si>
    <t xml:space="preserve">https://www.lcsc.com/product-detail/C4747978.html</t>
  </si>
  <si>
    <t xml:space="preserve">https://www.lcsc.com/product-detail/C2894225.html</t>
  </si>
  <si>
    <t xml:space="preserve">exact KiCad symbol unverified</t>
  </si>
  <si>
    <t xml:space="preserve">https://www.lcsc.com/product-detail/C5181479.html</t>
  </si>
  <si>
    <t xml:space="preserve">https://www.lcsc.com/product-detail/C139728.html</t>
  </si>
  <si>
    <t xml:space="preserve">https://www.lcsc.com/product-detail/C18723540.html</t>
  </si>
  <si>
    <t xml:space="preserve">https://www.lcsc.com/product-detail/C18723066.html</t>
  </si>
  <si>
    <t xml:space="preserve">https://www.lcsc.com/product-detail/C2935888.html</t>
  </si>
  <si>
    <t xml:space="preserve">https://www.lcsc.com/product-detail/C142852.html</t>
  </si>
  <si>
    <t xml:space="preserve">https://www.lcsc.com/product-detail/C2843867.html</t>
  </si>
  <si>
    <t xml:space="preserve">https://www.lcsc.com/product-detail/C128802.html</t>
  </si>
  <si>
    <t xml:space="preserve">https://www.lcsc.com/product-detail/C278365.html</t>
  </si>
  <si>
    <t xml:space="preserve">LCSC datasheet link unverified, exact KiCad symbol unverified</t>
  </si>
  <si>
    <t xml:space="preserve">https://www.lcsc.com/product-detail/C7473143.html</t>
  </si>
  <si>
    <t xml:space="preserve">https://www.lcsc.com/product-detail/C5156618.html</t>
  </si>
  <si>
    <t xml:space="preserve">https://www.lcsc.com/product-detail/C5187096.html</t>
  </si>
  <si>
    <t xml:space="preserve">https://www.lcsc.com/product-detail/C5299908.html</t>
  </si>
  <si>
    <t xml:space="preserve">https://www.lcsc.com/product-detail/C5148642.html</t>
  </si>
  <si>
    <t xml:space="preserve">https://www.lcsc.com/product-detail/C15127.html</t>
  </si>
  <si>
    <t xml:space="preserve">C32565</t>
  </si>
  <si>
    <t xml:space="preserve">https://www.lcsc.com/product-detail/C32565.html</t>
  </si>
  <si>
    <t xml:space="preserve">https://www.lcsc.com/product-detail/C5300004.html</t>
  </si>
  <si>
    <t xml:space="preserve">https://www.lcsc.com/product-detail/C499607.html</t>
  </si>
  <si>
    <t xml:space="preserve">https://www.lcsc.com/product-detail/C26858.html</t>
  </si>
  <si>
    <t xml:space="preserve">https://www.lcsc.com/product-detail/C636429.html</t>
  </si>
  <si>
    <t xml:space="preserve">LCSC datasheet link unverified</t>
  </si>
  <si>
    <t xml:space="preserve">https://www.lcsc.com/product-detail/C2907418.html</t>
  </si>
  <si>
    <t xml:space="preserve">https://www.lcsc.com/product-detail/C18004.html</t>
  </si>
  <si>
    <t xml:space="preserve">https://www.lcsc.com/product-detail/C2930362.html</t>
  </si>
  <si>
    <t xml:space="preserve">https://www.lcsc.com/product-detail/C163892.html</t>
  </si>
  <si>
    <t xml:space="preserve">https://www.lcsc.com/product-detail/C2907474.html</t>
  </si>
  <si>
    <t xml:space="preserve">https://www.lcsc.com/product-detail/C2933675.html</t>
  </si>
  <si>
    <t xml:space="preserve">https://www.lcsc.com/product-detail/C2933683.html</t>
  </si>
  <si>
    <t xml:space="preserve">https://www.lcsc.com/product-detail/C3013388.html</t>
  </si>
  <si>
    <t xml:space="preserve">https://www.lcsc.com/product-detail/C48391830.html</t>
  </si>
  <si>
    <t xml:space="preserve">https://www.lcsc.com/product-detail/C269612.html</t>
  </si>
  <si>
    <t xml:space="preserve">https://www.lcsc.com/product-detail/C48125.html</t>
  </si>
  <si>
    <t xml:space="preserve">https://www.lcsc.com/product-detail/C6855.html</t>
  </si>
  <si>
    <t xml:space="preserve">https://www.lcsc.com/product-detail/C97521.html</t>
  </si>
  <si>
    <t xml:space="preserve">https://www.lcsc.com/product-detail/C318884.html</t>
  </si>
  <si>
    <t xml:space="preserve">https://www.lcsc.com/product-detail/C557685.html</t>
  </si>
  <si>
    <t xml:space="preserve">https://www.lcsc.com/product-detail/C2840316.html</t>
  </si>
  <si>
    <t xml:space="preserve">https://www.lcsc.com/product-detail/C2840317.html</t>
  </si>
  <si>
    <t xml:space="preserve">https://www.lcsc.com/product-detail/C2840318.html</t>
  </si>
  <si>
    <t xml:space="preserve">https://www.lcsc.com/product-detail/C2928791.html</t>
  </si>
  <si>
    <t xml:space="preserve">https://www.lcsc.com/product-detail/C2831691.html</t>
  </si>
  <si>
    <t xml:space="preserve">https://www.lcsc.com/product-detail/C2764612.html</t>
  </si>
  <si>
    <t xml:space="preserve">https://www.lcsc.com/product-detail/C46043.html</t>
  </si>
  <si>
    <t xml:space="preserve">https://www.lcsc.com/product-detail/C177019.html</t>
  </si>
  <si>
    <t xml:space="preserve">https://www.lcsc.com/product-detail/C20612462.html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</si>
</sst>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15628C"/>
      <name val="Calibri"/>
      <family val="0"/>
      <charset val="1"/>
    </font>
    <font>
      <sz val="10"/>
      <name val="Times New Roman"/>
      <family val="1"/>
      <charset val="1"/>
    </font>
    <font>
      <sz val="10"/>
      <name val="Courier New"/>
      <family val="3"/>
      <charset val="1"/>
    </font>
    <font>
      <sz val="10"/>
      <color rgb="FF0000FF"/>
      <name val="Arial"/>
      <family val="2"/>
      <charset val="1"/>
    </font>
    <font>
      <b val="true"/>
      <sz val="11"/>
      <color rgb="FF193C43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14E56"/>
        <bgColor rgb="FF193C43"/>
      </patternFill>
    </fill>
    <fill>
      <patternFill patternType="solid">
        <fgColor rgb="FFD2E5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5">
    <dxf>
      <fill>
        <patternFill patternType="solid">
          <fgColor rgb="FF214E5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15628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5628C"/>
      <rgbColor rgb="FFD2E5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214E56"/>
      <rgbColor rgb="FF339966"/>
      <rgbColor rgb="FF003300"/>
      <rgbColor rgb="FF333300"/>
      <rgbColor rgb="FF993300"/>
      <rgbColor rgb="FF993366"/>
      <rgbColor rgb="FF333399"/>
      <rgbColor rgb="FF193C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omponentStock" displayName="ComponentStock" ref="A1:L100" headerRowCount="1" totalsRowCount="0" totalsRowShown="0">
  <tableColumns count="12">
    <tableColumn id="1" name="Function"/>
    <tableColumn id="2" name="Part"/>
    <tableColumn id="3" name="Package"/>
    <tableColumn id="4" name="LCSC"/>
    <tableColumn id="5" name="KiCad 10 Symbol"/>
    <tableColumn id="6" name="KiCad 10 Footprint"/>
    <tableColumn id="7" name="QTY Total"/>
    <tableColumn id="8" name="QTY Set 1"/>
    <tableColumn id="9" name="Qty Set 2"/>
    <tableColumn id="10" name="QTY Set 3"/>
    <tableColumn id="11" name="Description"/>
    <tableColumn id="12" name="LCSC Datasheet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lcsc.com/datasheet/C278365.pdf" TargetMode="External"/><Relationship Id="rId2" Type="http://schemas.openxmlformats.org/officeDocument/2006/relationships/hyperlink" Target="https://www.everlighteurope.com/custom/files/datasheets/DPC-0000031.pdf" TargetMode="External"/><Relationship Id="rId3" Type="http://schemas.openxmlformats.org/officeDocument/2006/relationships/hyperlink" Target="https://www.lcsc.com/datasheet/C4190.pdf" TargetMode="External"/><Relationship Id="rId4" Type="http://schemas.openxmlformats.org/officeDocument/2006/relationships/hyperlink" Target="https://www.lcsc.com/datasheet/C668205.pdf" TargetMode="External"/><Relationship Id="rId5" Type="http://schemas.openxmlformats.org/officeDocument/2006/relationships/hyperlink" Target="https://www.lcsc.com/datasheet/C20526.pdf" TargetMode="External"/><Relationship Id="rId6" Type="http://schemas.openxmlformats.org/officeDocument/2006/relationships/hyperlink" Target="https://www.lcsc.com/datasheet/C2143.pdf" TargetMode="External"/><Relationship Id="rId7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83" activePane="bottomLeft" state="frozen"/>
      <selection pane="topLeft" activeCell="A1" activeCellId="0" sqref="A1"/>
      <selection pane="bottomLeft" activeCell="B108" activeCellId="0" sqref="B108"/>
    </sheetView>
  </sheetViews>
  <sheetFormatPr defaultColWidth="9.7578125" defaultRowHeight="12.8" zeroHeight="false" outlineLevelRow="0" outlineLevelCol="0"/>
  <cols>
    <col collapsed="false" customWidth="true" hidden="false" outlineLevel="0" max="1" min="1" style="1" width="28.38"/>
    <col collapsed="false" customWidth="true" hidden="false" outlineLevel="0" max="2" min="2" style="1" width="30.65"/>
    <col collapsed="false" customWidth="true" hidden="false" outlineLevel="0" max="3" min="3" style="1" width="28.38"/>
    <col collapsed="false" customWidth="true" hidden="false" outlineLevel="0" max="4" min="4" style="1" width="17.03"/>
    <col collapsed="false" customWidth="true" hidden="false" outlineLevel="0" max="5" min="5" style="1" width="38.6"/>
    <col collapsed="false" customWidth="true" hidden="false" outlineLevel="0" max="6" min="6" style="1" width="73.78"/>
    <col collapsed="false" customWidth="true" hidden="false" outlineLevel="0" max="10" min="7" style="1" width="14.76"/>
    <col collapsed="false" customWidth="true" hidden="false" outlineLevel="0" max="11" min="11" style="1" width="73.78"/>
    <col collapsed="false" customWidth="true" hidden="false" outlineLevel="0" max="12" min="12" style="1" width="59.03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22" hidden="false" customHeight="true" outlineLevel="0" collapsed="false">
      <c r="A2" s="1" t="s">
        <v>12</v>
      </c>
      <c r="B2" s="1" t="s">
        <v>13</v>
      </c>
      <c r="C2" s="1" t="s">
        <v>14</v>
      </c>
      <c r="D2" s="3" t="s">
        <v>15</v>
      </c>
      <c r="E2" s="1" t="s">
        <v>16</v>
      </c>
      <c r="F2" s="1" t="s">
        <v>17</v>
      </c>
      <c r="G2" s="4" t="n">
        <f aca="false">SUM(H2:J2)</f>
        <v>1300</v>
      </c>
      <c r="H2" s="4" t="n">
        <v>1000</v>
      </c>
      <c r="I2" s="4" t="n">
        <v>300</v>
      </c>
      <c r="J2" s="4"/>
      <c r="K2" s="1" t="s">
        <v>18</v>
      </c>
      <c r="L2" s="5" t="s">
        <v>19</v>
      </c>
    </row>
    <row r="3" customFormat="false" ht="22" hidden="false" customHeight="true" outlineLevel="0" collapsed="false">
      <c r="A3" s="1" t="s">
        <v>20</v>
      </c>
      <c r="B3" s="1" t="s">
        <v>21</v>
      </c>
      <c r="C3" s="1" t="s">
        <v>22</v>
      </c>
      <c r="D3" s="3" t="s">
        <v>23</v>
      </c>
      <c r="E3" s="1" t="s">
        <v>24</v>
      </c>
      <c r="F3" s="1" t="s">
        <v>25</v>
      </c>
      <c r="G3" s="4" t="n">
        <f aca="false">SUM(H3:J3)</f>
        <v>30</v>
      </c>
      <c r="H3" s="4" t="n">
        <v>30</v>
      </c>
      <c r="I3" s="4"/>
      <c r="J3" s="4"/>
      <c r="K3" s="1" t="s">
        <v>26</v>
      </c>
      <c r="L3" s="5"/>
    </row>
    <row r="4" customFormat="false" ht="22" hidden="false" customHeight="true" outlineLevel="0" collapsed="false">
      <c r="A4" s="1" t="s">
        <v>27</v>
      </c>
      <c r="B4" s="1" t="s">
        <v>28</v>
      </c>
      <c r="C4" s="1" t="s">
        <v>29</v>
      </c>
      <c r="D4" s="3" t="s">
        <v>30</v>
      </c>
      <c r="E4" s="1" t="s">
        <v>31</v>
      </c>
      <c r="F4" s="1" t="s">
        <v>32</v>
      </c>
      <c r="G4" s="4" t="n">
        <f aca="false">SUM(H4:J4)</f>
        <v>300</v>
      </c>
      <c r="H4" s="4" t="n">
        <v>300</v>
      </c>
      <c r="I4" s="4"/>
      <c r="J4" s="4"/>
      <c r="K4" s="1" t="s">
        <v>33</v>
      </c>
      <c r="L4" s="5" t="s">
        <v>34</v>
      </c>
    </row>
    <row r="5" customFormat="false" ht="22" hidden="false" customHeight="true" outlineLevel="0" collapsed="false">
      <c r="A5" s="1" t="s">
        <v>35</v>
      </c>
      <c r="B5" s="1" t="s">
        <v>36</v>
      </c>
      <c r="C5" s="1" t="s">
        <v>37</v>
      </c>
      <c r="D5" s="3" t="s">
        <v>38</v>
      </c>
      <c r="E5" s="1" t="s">
        <v>39</v>
      </c>
      <c r="F5" s="1" t="s">
        <v>40</v>
      </c>
      <c r="G5" s="4" t="n">
        <f aca="false">SUM(H5:J5)</f>
        <v>100</v>
      </c>
      <c r="H5" s="4" t="n">
        <v>100</v>
      </c>
      <c r="I5" s="4"/>
      <c r="J5" s="4"/>
      <c r="K5" s="1" t="s">
        <v>41</v>
      </c>
      <c r="L5" s="5" t="s">
        <v>42</v>
      </c>
    </row>
    <row r="6" customFormat="false" ht="22" hidden="false" customHeight="true" outlineLevel="0" collapsed="false">
      <c r="A6" s="1" t="s">
        <v>43</v>
      </c>
      <c r="B6" s="1" t="s">
        <v>44</v>
      </c>
      <c r="C6" s="1" t="s">
        <v>45</v>
      </c>
      <c r="D6" s="3" t="s">
        <v>46</v>
      </c>
      <c r="E6" s="1" t="s">
        <v>47</v>
      </c>
      <c r="F6" s="1" t="s">
        <v>48</v>
      </c>
      <c r="G6" s="4" t="n">
        <f aca="false">SUM(H6:J6)</f>
        <v>16</v>
      </c>
      <c r="H6" s="4" t="n">
        <v>16</v>
      </c>
      <c r="I6" s="4"/>
      <c r="J6" s="4"/>
      <c r="K6" s="1" t="s">
        <v>49</v>
      </c>
      <c r="L6" s="5" t="s">
        <v>50</v>
      </c>
    </row>
    <row r="7" customFormat="false" ht="22" hidden="false" customHeight="true" outlineLevel="0" collapsed="false">
      <c r="A7" s="1" t="s">
        <v>51</v>
      </c>
      <c r="B7" s="1" t="s">
        <v>52</v>
      </c>
      <c r="C7" s="1" t="s">
        <v>53</v>
      </c>
      <c r="D7" s="3" t="s">
        <v>54</v>
      </c>
      <c r="E7" s="1" t="s">
        <v>55</v>
      </c>
      <c r="F7" s="1" t="s">
        <v>56</v>
      </c>
      <c r="G7" s="4" t="n">
        <f aca="false">SUM(H7:J7)</f>
        <v>9</v>
      </c>
      <c r="H7" s="4" t="n">
        <v>9</v>
      </c>
      <c r="I7" s="4"/>
      <c r="J7" s="4"/>
      <c r="K7" s="1" t="s">
        <v>57</v>
      </c>
      <c r="L7" s="5" t="s">
        <v>58</v>
      </c>
    </row>
    <row r="8" customFormat="false" ht="22" hidden="false" customHeight="true" outlineLevel="0" collapsed="false">
      <c r="A8" s="1" t="s">
        <v>51</v>
      </c>
      <c r="B8" s="1" t="s">
        <v>52</v>
      </c>
      <c r="C8" s="1" t="s">
        <v>59</v>
      </c>
      <c r="D8" s="3" t="s">
        <v>60</v>
      </c>
      <c r="E8" s="1" t="s">
        <v>55</v>
      </c>
      <c r="F8" s="1" t="s">
        <v>61</v>
      </c>
      <c r="G8" s="4" t="n">
        <f aca="false">SUM(H8:J8)</f>
        <v>50</v>
      </c>
      <c r="H8" s="4" t="n">
        <v>50</v>
      </c>
      <c r="I8" s="4"/>
      <c r="J8" s="4"/>
      <c r="K8" s="1" t="s">
        <v>62</v>
      </c>
      <c r="L8" s="5" t="s">
        <v>63</v>
      </c>
    </row>
    <row r="9" customFormat="false" ht="22" hidden="false" customHeight="true" outlineLevel="0" collapsed="false">
      <c r="A9" s="1" t="s">
        <v>51</v>
      </c>
      <c r="B9" s="1" t="s">
        <v>52</v>
      </c>
      <c r="C9" s="1" t="s">
        <v>64</v>
      </c>
      <c r="D9" s="3" t="s">
        <v>65</v>
      </c>
      <c r="E9" s="1" t="s">
        <v>55</v>
      </c>
      <c r="F9" s="1" t="s">
        <v>66</v>
      </c>
      <c r="G9" s="4" t="n">
        <f aca="false">SUM(H9:J9)</f>
        <v>90</v>
      </c>
      <c r="H9" s="4" t="n">
        <v>40</v>
      </c>
      <c r="I9" s="4" t="n">
        <v>50</v>
      </c>
      <c r="J9" s="4"/>
      <c r="K9" s="1" t="s">
        <v>67</v>
      </c>
      <c r="L9" s="5" t="s">
        <v>68</v>
      </c>
    </row>
    <row r="10" customFormat="false" ht="22" hidden="false" customHeight="true" outlineLevel="0" collapsed="false">
      <c r="A10" s="1" t="s">
        <v>51</v>
      </c>
      <c r="B10" s="1" t="s">
        <v>69</v>
      </c>
      <c r="C10" s="1" t="s">
        <v>70</v>
      </c>
      <c r="D10" s="3" t="s">
        <v>71</v>
      </c>
      <c r="E10" s="1" t="s">
        <v>72</v>
      </c>
      <c r="F10" s="1" t="s">
        <v>73</v>
      </c>
      <c r="G10" s="4" t="n">
        <f aca="false">SUM(H10:J10)</f>
        <v>1000</v>
      </c>
      <c r="H10" s="4" t="n">
        <v>1000</v>
      </c>
      <c r="I10" s="4"/>
      <c r="J10" s="4"/>
      <c r="K10" s="1" t="s">
        <v>74</v>
      </c>
      <c r="L10" s="5" t="s">
        <v>75</v>
      </c>
    </row>
    <row r="11" customFormat="false" ht="22" hidden="false" customHeight="true" outlineLevel="0" collapsed="false">
      <c r="A11" s="1" t="s">
        <v>51</v>
      </c>
      <c r="B11" s="1" t="s">
        <v>69</v>
      </c>
      <c r="C11" s="1" t="s">
        <v>76</v>
      </c>
      <c r="D11" s="3" t="s">
        <v>77</v>
      </c>
      <c r="E11" s="1" t="s">
        <v>72</v>
      </c>
      <c r="F11" s="1" t="s">
        <v>78</v>
      </c>
      <c r="G11" s="4" t="n">
        <f aca="false">SUM(H11:J11)</f>
        <v>1000</v>
      </c>
      <c r="H11" s="4" t="n">
        <v>1000</v>
      </c>
      <c r="I11" s="4"/>
      <c r="J11" s="4"/>
      <c r="K11" s="1" t="s">
        <v>79</v>
      </c>
      <c r="L11" s="5" t="s">
        <v>80</v>
      </c>
    </row>
    <row r="12" customFormat="false" ht="22" hidden="false" customHeight="true" outlineLevel="0" collapsed="false">
      <c r="A12" s="1" t="s">
        <v>51</v>
      </c>
      <c r="B12" s="1" t="s">
        <v>69</v>
      </c>
      <c r="C12" s="1" t="s">
        <v>81</v>
      </c>
      <c r="D12" s="3" t="s">
        <v>82</v>
      </c>
      <c r="E12" s="1" t="s">
        <v>72</v>
      </c>
      <c r="F12" s="1" t="s">
        <v>83</v>
      </c>
      <c r="G12" s="4" t="n">
        <f aca="false">SUM(H12:J12)</f>
        <v>100</v>
      </c>
      <c r="H12" s="4" t="n">
        <v>100</v>
      </c>
      <c r="I12" s="4"/>
      <c r="J12" s="4"/>
      <c r="K12" s="1" t="s">
        <v>84</v>
      </c>
      <c r="L12" s="5" t="s">
        <v>85</v>
      </c>
    </row>
    <row r="13" customFormat="false" ht="22" hidden="false" customHeight="true" outlineLevel="0" collapsed="false">
      <c r="A13" s="1" t="s">
        <v>51</v>
      </c>
      <c r="B13" s="1" t="s">
        <v>86</v>
      </c>
      <c r="C13" s="1" t="s">
        <v>76</v>
      </c>
      <c r="D13" s="3" t="s">
        <v>87</v>
      </c>
      <c r="E13" s="1" t="s">
        <v>72</v>
      </c>
      <c r="F13" s="1" t="s">
        <v>78</v>
      </c>
      <c r="G13" s="4" t="n">
        <f aca="false">SUM(H13:J13)</f>
        <v>100</v>
      </c>
      <c r="H13" s="4" t="n">
        <v>100</v>
      </c>
      <c r="I13" s="4"/>
      <c r="J13" s="4"/>
      <c r="K13" s="1" t="s">
        <v>88</v>
      </c>
      <c r="L13" s="5" t="s">
        <v>89</v>
      </c>
    </row>
    <row r="14" customFormat="false" ht="22" hidden="false" customHeight="true" outlineLevel="0" collapsed="false">
      <c r="A14" s="1" t="s">
        <v>51</v>
      </c>
      <c r="B14" s="1" t="s">
        <v>90</v>
      </c>
      <c r="C14" s="1" t="s">
        <v>91</v>
      </c>
      <c r="D14" s="3" t="s">
        <v>92</v>
      </c>
      <c r="E14" s="1" t="s">
        <v>55</v>
      </c>
      <c r="F14" s="1" t="s">
        <v>93</v>
      </c>
      <c r="G14" s="4" t="n">
        <f aca="false">SUM(H14:J14)</f>
        <v>200</v>
      </c>
      <c r="H14" s="4" t="n">
        <v>200</v>
      </c>
      <c r="I14" s="4"/>
      <c r="J14" s="4"/>
      <c r="K14" s="1" t="s">
        <v>94</v>
      </c>
      <c r="L14" s="5" t="s">
        <v>95</v>
      </c>
    </row>
    <row r="15" customFormat="false" ht="22" hidden="false" customHeight="true" outlineLevel="0" collapsed="false">
      <c r="A15" s="1" t="s">
        <v>51</v>
      </c>
      <c r="B15" s="1" t="s">
        <v>96</v>
      </c>
      <c r="C15" s="1" t="s">
        <v>97</v>
      </c>
      <c r="D15" s="3" t="s">
        <v>98</v>
      </c>
      <c r="E15" s="1" t="s">
        <v>55</v>
      </c>
      <c r="F15" s="6" t="s">
        <v>99</v>
      </c>
      <c r="G15" s="4" t="n">
        <f aca="false">SUM(H15:J15)</f>
        <v>10</v>
      </c>
      <c r="H15" s="4" t="n">
        <v>10</v>
      </c>
      <c r="I15" s="4"/>
      <c r="J15" s="4"/>
      <c r="K15" s="1" t="s">
        <v>100</v>
      </c>
      <c r="L15" s="5"/>
    </row>
    <row r="16" customFormat="false" ht="22" hidden="false" customHeight="true" outlineLevel="0" collapsed="false">
      <c r="A16" s="1" t="s">
        <v>51</v>
      </c>
      <c r="B16" s="1" t="s">
        <v>101</v>
      </c>
      <c r="C16" s="1" t="s">
        <v>102</v>
      </c>
      <c r="D16" s="3" t="s">
        <v>103</v>
      </c>
      <c r="E16" s="1" t="s">
        <v>55</v>
      </c>
      <c r="F16" s="1" t="s">
        <v>104</v>
      </c>
      <c r="G16" s="4" t="n">
        <f aca="false">SUM(H16:J16)</f>
        <v>80</v>
      </c>
      <c r="H16" s="4" t="n">
        <v>80</v>
      </c>
      <c r="I16" s="4"/>
      <c r="J16" s="4"/>
      <c r="K16" s="1" t="s">
        <v>105</v>
      </c>
      <c r="L16" s="5" t="s">
        <v>106</v>
      </c>
    </row>
    <row r="17" customFormat="false" ht="22" hidden="false" customHeight="true" outlineLevel="0" collapsed="false">
      <c r="A17" s="1" t="s">
        <v>51</v>
      </c>
      <c r="B17" s="1" t="s">
        <v>107</v>
      </c>
      <c r="C17" s="1" t="s">
        <v>108</v>
      </c>
      <c r="D17" s="3" t="s">
        <v>109</v>
      </c>
      <c r="E17" s="1" t="s">
        <v>55</v>
      </c>
      <c r="F17" s="1" t="s">
        <v>110</v>
      </c>
      <c r="G17" s="4" t="n">
        <f aca="false">SUM(H17:J17)</f>
        <v>60</v>
      </c>
      <c r="H17" s="4" t="n">
        <v>60</v>
      </c>
      <c r="I17" s="4"/>
      <c r="J17" s="4"/>
      <c r="K17" s="1" t="s">
        <v>111</v>
      </c>
      <c r="L17" s="5"/>
    </row>
    <row r="18" customFormat="false" ht="22" hidden="false" customHeight="true" outlineLevel="0" collapsed="false">
      <c r="A18" s="1" t="s">
        <v>51</v>
      </c>
      <c r="B18" s="1" t="s">
        <v>112</v>
      </c>
      <c r="C18" s="1" t="s">
        <v>113</v>
      </c>
      <c r="D18" s="3" t="s">
        <v>114</v>
      </c>
      <c r="E18" s="1" t="s">
        <v>72</v>
      </c>
      <c r="F18" s="1" t="s">
        <v>115</v>
      </c>
      <c r="G18" s="4" t="n">
        <f aca="false">SUM(H18:J18)</f>
        <v>60</v>
      </c>
      <c r="H18" s="4" t="n">
        <v>60</v>
      </c>
      <c r="I18" s="4"/>
      <c r="J18" s="4"/>
      <c r="K18" s="1" t="s">
        <v>116</v>
      </c>
      <c r="L18" s="5" t="s">
        <v>117</v>
      </c>
    </row>
    <row r="19" customFormat="false" ht="22" hidden="false" customHeight="true" outlineLevel="0" collapsed="false">
      <c r="A19" s="1" t="s">
        <v>51</v>
      </c>
      <c r="B19" s="1" t="s">
        <v>112</v>
      </c>
      <c r="C19" s="1" t="s">
        <v>118</v>
      </c>
      <c r="D19" s="3" t="s">
        <v>119</v>
      </c>
      <c r="E19" s="1" t="s">
        <v>55</v>
      </c>
      <c r="F19" s="1" t="s">
        <v>120</v>
      </c>
      <c r="G19" s="4" t="n">
        <f aca="false">SUM(H19:J19)</f>
        <v>50</v>
      </c>
      <c r="H19" s="4" t="n">
        <v>50</v>
      </c>
      <c r="I19" s="4"/>
      <c r="J19" s="4"/>
      <c r="K19" s="1" t="s">
        <v>121</v>
      </c>
      <c r="L19" s="5" t="s">
        <v>122</v>
      </c>
    </row>
    <row r="20" customFormat="false" ht="22" hidden="false" customHeight="true" outlineLevel="0" collapsed="false">
      <c r="A20" s="1" t="s">
        <v>51</v>
      </c>
      <c r="B20" s="1" t="s">
        <v>112</v>
      </c>
      <c r="C20" s="1" t="s">
        <v>70</v>
      </c>
      <c r="D20" s="3" t="s">
        <v>123</v>
      </c>
      <c r="E20" s="1" t="s">
        <v>72</v>
      </c>
      <c r="F20" s="1" t="s">
        <v>73</v>
      </c>
      <c r="G20" s="4" t="n">
        <f aca="false">SUM(H20:J20)</f>
        <v>200</v>
      </c>
      <c r="H20" s="4" t="n">
        <v>200</v>
      </c>
      <c r="I20" s="4"/>
      <c r="J20" s="4"/>
      <c r="K20" s="1" t="s">
        <v>124</v>
      </c>
      <c r="L20" s="5" t="s">
        <v>125</v>
      </c>
    </row>
    <row r="21" customFormat="false" ht="22" hidden="false" customHeight="true" outlineLevel="0" collapsed="false">
      <c r="A21" s="1" t="s">
        <v>126</v>
      </c>
      <c r="B21" s="1" t="s">
        <v>127</v>
      </c>
      <c r="C21" s="1" t="s">
        <v>128</v>
      </c>
      <c r="D21" s="3" t="s">
        <v>129</v>
      </c>
      <c r="E21" s="7" t="s">
        <v>130</v>
      </c>
      <c r="F21" s="1" t="s">
        <v>131</v>
      </c>
      <c r="G21" s="4" t="n">
        <f aca="false">SUM(H21:J21)</f>
        <v>100</v>
      </c>
      <c r="H21" s="4" t="n">
        <v>100</v>
      </c>
      <c r="I21" s="4"/>
      <c r="J21" s="4"/>
      <c r="K21" s="1" t="s">
        <v>132</v>
      </c>
      <c r="L21" s="5" t="s">
        <v>133</v>
      </c>
    </row>
    <row r="22" customFormat="false" ht="22" hidden="false" customHeight="true" outlineLevel="0" collapsed="false">
      <c r="A22" s="1" t="s">
        <v>126</v>
      </c>
      <c r="B22" s="1" t="s">
        <v>134</v>
      </c>
      <c r="C22" s="1" t="s">
        <v>135</v>
      </c>
      <c r="D22" s="3" t="s">
        <v>136</v>
      </c>
      <c r="E22" s="1" t="s">
        <v>137</v>
      </c>
      <c r="F22" s="1" t="s">
        <v>138</v>
      </c>
      <c r="G22" s="4" t="n">
        <f aca="false">SUM(H22:J22)</f>
        <v>60</v>
      </c>
      <c r="H22" s="4" t="n">
        <v>10</v>
      </c>
      <c r="I22" s="4" t="n">
        <v>50</v>
      </c>
      <c r="J22" s="4"/>
      <c r="K22" s="1" t="s">
        <v>139</v>
      </c>
      <c r="L22" s="5" t="s">
        <v>140</v>
      </c>
    </row>
    <row r="23" customFormat="false" ht="22" hidden="false" customHeight="true" outlineLevel="0" collapsed="false">
      <c r="A23" s="1" t="s">
        <v>141</v>
      </c>
      <c r="B23" s="1" t="s">
        <v>142</v>
      </c>
      <c r="C23" s="1" t="s">
        <v>143</v>
      </c>
      <c r="D23" s="3" t="s">
        <v>144</v>
      </c>
      <c r="E23" s="1" t="s">
        <v>145</v>
      </c>
      <c r="F23" s="1" t="s">
        <v>146</v>
      </c>
      <c r="G23" s="4" t="n">
        <f aca="false">SUM(H23:J23)</f>
        <v>200</v>
      </c>
      <c r="H23" s="4" t="n">
        <v>200</v>
      </c>
      <c r="I23" s="4"/>
      <c r="J23" s="4"/>
      <c r="K23" s="1" t="s">
        <v>147</v>
      </c>
      <c r="L23" s="5" t="s">
        <v>148</v>
      </c>
    </row>
    <row r="24" customFormat="false" ht="22" hidden="false" customHeight="true" outlineLevel="0" collapsed="false">
      <c r="A24" s="1" t="s">
        <v>149</v>
      </c>
      <c r="B24" s="1" t="s">
        <v>150</v>
      </c>
      <c r="C24" s="1" t="s">
        <v>151</v>
      </c>
      <c r="D24" s="3" t="s">
        <v>152</v>
      </c>
      <c r="E24" s="7" t="s">
        <v>153</v>
      </c>
      <c r="F24" s="1" t="s">
        <v>154</v>
      </c>
      <c r="G24" s="4" t="n">
        <f aca="false">SUM(H24:J24)</f>
        <v>3</v>
      </c>
      <c r="H24" s="4" t="n">
        <v>3</v>
      </c>
      <c r="I24" s="4"/>
      <c r="J24" s="4"/>
      <c r="K24" s="1" t="s">
        <v>155</v>
      </c>
      <c r="L24" s="5" t="s">
        <v>156</v>
      </c>
    </row>
    <row r="25" customFormat="false" ht="22" hidden="false" customHeight="true" outlineLevel="0" collapsed="false">
      <c r="A25" s="1" t="s">
        <v>157</v>
      </c>
      <c r="B25" s="1" t="s">
        <v>158</v>
      </c>
      <c r="C25" s="1" t="s">
        <v>159</v>
      </c>
      <c r="D25" s="3" t="s">
        <v>160</v>
      </c>
      <c r="E25" s="1" t="s">
        <v>161</v>
      </c>
      <c r="F25" s="1" t="s">
        <v>162</v>
      </c>
      <c r="G25" s="4" t="n">
        <f aca="false">SUM(H25:J25)</f>
        <v>100</v>
      </c>
      <c r="H25" s="4" t="n">
        <v>100</v>
      </c>
      <c r="I25" s="4"/>
      <c r="J25" s="4"/>
      <c r="K25" s="1" t="s">
        <v>163</v>
      </c>
      <c r="L25" s="5" t="s">
        <v>164</v>
      </c>
    </row>
    <row r="26" customFormat="false" ht="22" hidden="false" customHeight="true" outlineLevel="0" collapsed="false">
      <c r="A26" s="1" t="s">
        <v>157</v>
      </c>
      <c r="B26" s="1" t="s">
        <v>165</v>
      </c>
      <c r="C26" s="1" t="s">
        <v>166</v>
      </c>
      <c r="D26" s="3" t="s">
        <v>167</v>
      </c>
      <c r="E26" s="1" t="s">
        <v>168</v>
      </c>
      <c r="F26" s="1" t="s">
        <v>169</v>
      </c>
      <c r="G26" s="4" t="n">
        <f aca="false">SUM(H26:J26)</f>
        <v>20</v>
      </c>
      <c r="H26" s="4" t="n">
        <v>20</v>
      </c>
      <c r="I26" s="4"/>
      <c r="J26" s="4"/>
      <c r="K26" s="1" t="s">
        <v>170</v>
      </c>
      <c r="L26" s="5" t="s">
        <v>171</v>
      </c>
    </row>
    <row r="27" customFormat="false" ht="22" hidden="false" customHeight="true" outlineLevel="0" collapsed="false">
      <c r="A27" s="1" t="s">
        <v>172</v>
      </c>
      <c r="B27" s="1" t="s">
        <v>173</v>
      </c>
      <c r="C27" s="1" t="s">
        <v>174</v>
      </c>
      <c r="D27" s="3" t="s">
        <v>175</v>
      </c>
      <c r="E27" s="1" t="s">
        <v>176</v>
      </c>
      <c r="F27" s="1" t="s">
        <v>177</v>
      </c>
      <c r="G27" s="4" t="n">
        <f aca="false">SUM(H27:J27)</f>
        <v>1000</v>
      </c>
      <c r="H27" s="4" t="n">
        <v>1000</v>
      </c>
      <c r="I27" s="4"/>
      <c r="J27" s="4"/>
      <c r="K27" s="1" t="s">
        <v>178</v>
      </c>
      <c r="L27" s="5" t="s">
        <v>179</v>
      </c>
    </row>
    <row r="28" customFormat="false" ht="22" hidden="false" customHeight="true" outlineLevel="0" collapsed="false">
      <c r="A28" s="1" t="s">
        <v>180</v>
      </c>
      <c r="B28" s="1" t="s">
        <v>181</v>
      </c>
      <c r="C28" s="1" t="s">
        <v>182</v>
      </c>
      <c r="D28" s="3" t="s">
        <v>183</v>
      </c>
      <c r="E28" s="1" t="s">
        <v>168</v>
      </c>
      <c r="F28" s="1" t="s">
        <v>169</v>
      </c>
      <c r="G28" s="4" t="n">
        <f aca="false">SUM(H28:J28)</f>
        <v>2</v>
      </c>
      <c r="H28" s="4" t="n">
        <v>2</v>
      </c>
      <c r="I28" s="4"/>
      <c r="J28" s="4"/>
      <c r="K28" s="1" t="s">
        <v>184</v>
      </c>
      <c r="L28" s="5" t="s">
        <v>185</v>
      </c>
    </row>
    <row r="29" customFormat="false" ht="22" hidden="false" customHeight="true" outlineLevel="0" collapsed="false">
      <c r="A29" s="1" t="s">
        <v>186</v>
      </c>
      <c r="B29" s="1" t="s">
        <v>187</v>
      </c>
      <c r="C29" s="1" t="s">
        <v>188</v>
      </c>
      <c r="D29" s="3" t="s">
        <v>189</v>
      </c>
      <c r="E29" s="1" t="s">
        <v>190</v>
      </c>
      <c r="F29" s="1" t="s">
        <v>191</v>
      </c>
      <c r="G29" s="4" t="n">
        <f aca="false">SUM(H29:J29)</f>
        <v>150</v>
      </c>
      <c r="H29" s="4" t="n">
        <v>150</v>
      </c>
      <c r="I29" s="4"/>
      <c r="J29" s="4"/>
      <c r="K29" s="1" t="s">
        <v>192</v>
      </c>
      <c r="L29" s="5" t="s">
        <v>193</v>
      </c>
    </row>
    <row r="30" customFormat="false" ht="22" hidden="false" customHeight="true" outlineLevel="0" collapsed="false">
      <c r="A30" s="1" t="s">
        <v>186</v>
      </c>
      <c r="B30" s="1" t="s">
        <v>194</v>
      </c>
      <c r="C30" s="1" t="s">
        <v>195</v>
      </c>
      <c r="D30" s="3" t="s">
        <v>196</v>
      </c>
      <c r="E30" s="1" t="s">
        <v>197</v>
      </c>
      <c r="F30" s="1" t="s">
        <v>198</v>
      </c>
      <c r="G30" s="4" t="n">
        <f aca="false">SUM(H30:J30)</f>
        <v>0</v>
      </c>
      <c r="H30" s="4" t="n">
        <v>0</v>
      </c>
      <c r="I30" s="4"/>
      <c r="J30" s="4"/>
      <c r="K30" s="1" t="s">
        <v>199</v>
      </c>
      <c r="L30" s="5"/>
    </row>
    <row r="31" customFormat="false" ht="22" hidden="false" customHeight="true" outlineLevel="0" collapsed="false">
      <c r="A31" s="1" t="s">
        <v>200</v>
      </c>
      <c r="B31" s="1" t="s">
        <v>201</v>
      </c>
      <c r="C31" s="1" t="s">
        <v>202</v>
      </c>
      <c r="D31" s="3" t="s">
        <v>203</v>
      </c>
      <c r="E31" s="1" t="s">
        <v>204</v>
      </c>
      <c r="F31" s="1" t="s">
        <v>205</v>
      </c>
      <c r="G31" s="4" t="n">
        <f aca="false">SUM(H31:J31)</f>
        <v>20</v>
      </c>
      <c r="H31" s="4" t="n">
        <v>20</v>
      </c>
      <c r="I31" s="4"/>
      <c r="J31" s="4"/>
      <c r="K31" s="1" t="s">
        <v>206</v>
      </c>
      <c r="L31" s="5" t="s">
        <v>207</v>
      </c>
    </row>
    <row r="32" customFormat="false" ht="22" hidden="false" customHeight="true" outlineLevel="0" collapsed="false">
      <c r="A32" s="1" t="s">
        <v>208</v>
      </c>
      <c r="B32" s="1" t="s">
        <v>209</v>
      </c>
      <c r="C32" s="1" t="s">
        <v>210</v>
      </c>
      <c r="D32" s="3" t="s">
        <v>211</v>
      </c>
      <c r="E32" s="1" t="s">
        <v>212</v>
      </c>
      <c r="F32" s="1" t="s">
        <v>213</v>
      </c>
      <c r="G32" s="4" t="n">
        <f aca="false">SUM(H32:J32)</f>
        <v>1000</v>
      </c>
      <c r="H32" s="4" t="n">
        <v>500</v>
      </c>
      <c r="I32" s="4" t="n">
        <v>500</v>
      </c>
      <c r="J32" s="4"/>
      <c r="K32" s="1" t="s">
        <v>214</v>
      </c>
      <c r="L32" s="5" t="s">
        <v>215</v>
      </c>
    </row>
    <row r="33" customFormat="false" ht="22" hidden="false" customHeight="true" outlineLevel="0" collapsed="false">
      <c r="A33" s="1" t="s">
        <v>208</v>
      </c>
      <c r="B33" s="1" t="s">
        <v>216</v>
      </c>
      <c r="C33" s="1" t="s">
        <v>210</v>
      </c>
      <c r="D33" s="3" t="s">
        <v>217</v>
      </c>
      <c r="E33" s="1" t="s">
        <v>212</v>
      </c>
      <c r="F33" s="1" t="s">
        <v>213</v>
      </c>
      <c r="G33" s="4" t="n">
        <f aca="false">SUM(H33:J33)</f>
        <v>500</v>
      </c>
      <c r="H33" s="4" t="n">
        <v>500</v>
      </c>
      <c r="I33" s="4"/>
      <c r="J33" s="4"/>
      <c r="K33" s="1" t="s">
        <v>218</v>
      </c>
      <c r="L33" s="5" t="s">
        <v>219</v>
      </c>
    </row>
    <row r="34" customFormat="false" ht="22" hidden="false" customHeight="true" outlineLevel="0" collapsed="false">
      <c r="A34" s="1" t="s">
        <v>208</v>
      </c>
      <c r="B34" s="1" t="s">
        <v>220</v>
      </c>
      <c r="C34" s="1" t="s">
        <v>210</v>
      </c>
      <c r="D34" s="3" t="s">
        <v>221</v>
      </c>
      <c r="E34" s="1" t="s">
        <v>212</v>
      </c>
      <c r="F34" s="1" t="s">
        <v>213</v>
      </c>
      <c r="G34" s="4" t="n">
        <f aca="false">SUM(H34:J34)</f>
        <v>500</v>
      </c>
      <c r="H34" s="4" t="n">
        <v>500</v>
      </c>
      <c r="I34" s="4"/>
      <c r="J34" s="4"/>
      <c r="K34" s="1" t="s">
        <v>222</v>
      </c>
      <c r="L34" s="5" t="s">
        <v>223</v>
      </c>
    </row>
    <row r="35" customFormat="false" ht="22" hidden="false" customHeight="true" outlineLevel="0" collapsed="false">
      <c r="A35" s="1" t="s">
        <v>208</v>
      </c>
      <c r="B35" s="1" t="s">
        <v>224</v>
      </c>
      <c r="C35" s="1" t="s">
        <v>225</v>
      </c>
      <c r="D35" s="3" t="s">
        <v>226</v>
      </c>
      <c r="E35" s="1" t="s">
        <v>227</v>
      </c>
      <c r="F35" s="1" t="s">
        <v>228</v>
      </c>
      <c r="G35" s="4" t="n">
        <f aca="false">SUM(H35:J35)</f>
        <v>200</v>
      </c>
      <c r="H35" s="4" t="n">
        <v>200</v>
      </c>
      <c r="I35" s="4"/>
      <c r="J35" s="4"/>
      <c r="K35" s="1" t="s">
        <v>229</v>
      </c>
      <c r="L35" s="5" t="s">
        <v>230</v>
      </c>
    </row>
    <row r="36" customFormat="false" ht="22" hidden="false" customHeight="true" outlineLevel="0" collapsed="false">
      <c r="A36" s="1" t="s">
        <v>231</v>
      </c>
      <c r="B36" s="1" t="s">
        <v>232</v>
      </c>
      <c r="C36" s="1" t="s">
        <v>70</v>
      </c>
      <c r="D36" s="3" t="s">
        <v>233</v>
      </c>
      <c r="E36" s="1" t="s">
        <v>234</v>
      </c>
      <c r="F36" s="1" t="s">
        <v>235</v>
      </c>
      <c r="G36" s="4" t="n">
        <f aca="false">SUM(H36:J36)</f>
        <v>100</v>
      </c>
      <c r="H36" s="4" t="n">
        <v>100</v>
      </c>
      <c r="I36" s="4"/>
      <c r="J36" s="4"/>
      <c r="K36" s="1" t="s">
        <v>236</v>
      </c>
      <c r="L36" s="5" t="s">
        <v>237</v>
      </c>
    </row>
    <row r="37" customFormat="false" ht="22" hidden="false" customHeight="true" outlineLevel="0" collapsed="false">
      <c r="A37" s="1" t="s">
        <v>231</v>
      </c>
      <c r="B37" s="1" t="s">
        <v>238</v>
      </c>
      <c r="C37" s="1" t="s">
        <v>239</v>
      </c>
      <c r="D37" s="3" t="s">
        <v>240</v>
      </c>
      <c r="E37" s="1" t="s">
        <v>234</v>
      </c>
      <c r="F37" s="1" t="s">
        <v>241</v>
      </c>
      <c r="G37" s="4" t="n">
        <f aca="false">SUM(H37:J37)</f>
        <v>50</v>
      </c>
      <c r="H37" s="4" t="n">
        <v>50</v>
      </c>
      <c r="I37" s="4"/>
      <c r="J37" s="4"/>
      <c r="K37" s="1" t="s">
        <v>242</v>
      </c>
      <c r="L37" s="5" t="s">
        <v>243</v>
      </c>
    </row>
    <row r="38" customFormat="false" ht="22" hidden="false" customHeight="true" outlineLevel="0" collapsed="false">
      <c r="A38" s="1" t="s">
        <v>244</v>
      </c>
      <c r="B38" s="1" t="s">
        <v>245</v>
      </c>
      <c r="C38" s="1" t="s">
        <v>246</v>
      </c>
      <c r="D38" s="3" t="s">
        <v>247</v>
      </c>
      <c r="E38" s="1" t="s">
        <v>248</v>
      </c>
      <c r="F38" s="1" t="s">
        <v>249</v>
      </c>
      <c r="G38" s="4" t="n">
        <f aca="false">SUM(H38:J38)</f>
        <v>300</v>
      </c>
      <c r="H38" s="4" t="n">
        <v>300</v>
      </c>
      <c r="I38" s="4"/>
      <c r="J38" s="4"/>
      <c r="K38" s="1" t="s">
        <v>250</v>
      </c>
      <c r="L38" s="5" t="s">
        <v>251</v>
      </c>
    </row>
    <row r="39" customFormat="false" ht="22" hidden="false" customHeight="true" outlineLevel="0" collapsed="false">
      <c r="A39" s="1" t="s">
        <v>244</v>
      </c>
      <c r="B39" s="1" t="s">
        <v>245</v>
      </c>
      <c r="C39" s="1" t="s">
        <v>246</v>
      </c>
      <c r="D39" s="3" t="s">
        <v>252</v>
      </c>
      <c r="E39" s="1" t="s">
        <v>248</v>
      </c>
      <c r="F39" s="1" t="s">
        <v>249</v>
      </c>
      <c r="G39" s="4" t="n">
        <f aca="false">SUM(H39:J39)</f>
        <v>0</v>
      </c>
      <c r="H39" s="4" t="n">
        <v>0</v>
      </c>
      <c r="I39" s="4"/>
      <c r="J39" s="4"/>
      <c r="K39" s="1" t="s">
        <v>250</v>
      </c>
      <c r="L39" s="5" t="s">
        <v>253</v>
      </c>
    </row>
    <row r="40" customFormat="false" ht="22" hidden="false" customHeight="true" outlineLevel="0" collapsed="false">
      <c r="A40" s="1" t="s">
        <v>244</v>
      </c>
      <c r="B40" s="1" t="s">
        <v>254</v>
      </c>
      <c r="C40" s="1" t="s">
        <v>246</v>
      </c>
      <c r="D40" s="3" t="s">
        <v>255</v>
      </c>
      <c r="E40" s="1" t="s">
        <v>256</v>
      </c>
      <c r="F40" s="1" t="s">
        <v>249</v>
      </c>
      <c r="G40" s="4" t="n">
        <f aca="false">SUM(H40:J40)</f>
        <v>104</v>
      </c>
      <c r="H40" s="4" t="n">
        <v>104</v>
      </c>
      <c r="I40" s="4"/>
      <c r="J40" s="4"/>
      <c r="K40" s="1" t="s">
        <v>257</v>
      </c>
      <c r="L40" s="5" t="s">
        <v>258</v>
      </c>
    </row>
    <row r="41" customFormat="false" ht="22" hidden="false" customHeight="true" outlineLevel="0" collapsed="false">
      <c r="A41" s="1" t="s">
        <v>244</v>
      </c>
      <c r="B41" s="1" t="s">
        <v>254</v>
      </c>
      <c r="C41" s="1" t="s">
        <v>259</v>
      </c>
      <c r="D41" s="3" t="s">
        <v>260</v>
      </c>
      <c r="E41" s="7" t="s">
        <v>256</v>
      </c>
      <c r="F41" s="1" t="s">
        <v>261</v>
      </c>
      <c r="G41" s="4" t="n">
        <f aca="false">SUM(H41:J41)</f>
        <v>300</v>
      </c>
      <c r="H41" s="4" t="n">
        <v>300</v>
      </c>
      <c r="I41" s="4"/>
      <c r="J41" s="4"/>
      <c r="K41" s="1" t="s">
        <v>262</v>
      </c>
      <c r="L41" s="5"/>
    </row>
    <row r="42" customFormat="false" ht="22" hidden="false" customHeight="true" outlineLevel="0" collapsed="false">
      <c r="A42" s="1" t="s">
        <v>263</v>
      </c>
      <c r="B42" s="1" t="s">
        <v>264</v>
      </c>
      <c r="C42" s="1" t="s">
        <v>265</v>
      </c>
      <c r="D42" s="3" t="s">
        <v>266</v>
      </c>
      <c r="E42" s="1" t="s">
        <v>267</v>
      </c>
      <c r="F42" s="1" t="s">
        <v>268</v>
      </c>
      <c r="G42" s="4" t="n">
        <f aca="false">SUM(H42:J42)</f>
        <v>100</v>
      </c>
      <c r="H42" s="4" t="n">
        <v>100</v>
      </c>
      <c r="I42" s="4"/>
      <c r="J42" s="4"/>
      <c r="K42" s="1" t="s">
        <v>269</v>
      </c>
      <c r="L42" s="5" t="s">
        <v>270</v>
      </c>
    </row>
    <row r="43" customFormat="false" ht="22" hidden="false" customHeight="true" outlineLevel="0" collapsed="false">
      <c r="A43" s="1" t="s">
        <v>271</v>
      </c>
      <c r="B43" s="1" t="s">
        <v>272</v>
      </c>
      <c r="C43" s="1" t="s">
        <v>273</v>
      </c>
      <c r="D43" s="3" t="s">
        <v>274</v>
      </c>
      <c r="E43" s="1" t="s">
        <v>275</v>
      </c>
      <c r="F43" s="1" t="s">
        <v>276</v>
      </c>
      <c r="G43" s="4" t="n">
        <f aca="false">SUM(H43:J43)</f>
        <v>0</v>
      </c>
      <c r="H43" s="4" t="n">
        <v>0</v>
      </c>
      <c r="I43" s="4"/>
      <c r="J43" s="4"/>
      <c r="K43" s="1" t="s">
        <v>277</v>
      </c>
      <c r="L43" s="5" t="s">
        <v>278</v>
      </c>
    </row>
    <row r="44" customFormat="false" ht="22" hidden="false" customHeight="true" outlineLevel="0" collapsed="false">
      <c r="A44" s="1" t="s">
        <v>279</v>
      </c>
      <c r="B44" s="1" t="s">
        <v>280</v>
      </c>
      <c r="C44" s="1" t="s">
        <v>281</v>
      </c>
      <c r="D44" s="3" t="s">
        <v>282</v>
      </c>
      <c r="E44" s="1" t="s">
        <v>283</v>
      </c>
      <c r="F44" s="1" t="s">
        <v>284</v>
      </c>
      <c r="G44" s="4" t="n">
        <f aca="false">SUM(H44:J44)</f>
        <v>210</v>
      </c>
      <c r="H44" s="4" t="n">
        <v>10</v>
      </c>
      <c r="I44" s="4" t="n">
        <v>200</v>
      </c>
      <c r="J44" s="4"/>
      <c r="K44" s="1" t="s">
        <v>285</v>
      </c>
      <c r="L44" s="5" t="s">
        <v>286</v>
      </c>
    </row>
    <row r="45" customFormat="false" ht="22" hidden="false" customHeight="true" outlineLevel="0" collapsed="false">
      <c r="A45" s="1" t="s">
        <v>279</v>
      </c>
      <c r="B45" s="1" t="s">
        <v>287</v>
      </c>
      <c r="C45" s="1" t="s">
        <v>288</v>
      </c>
      <c r="D45" s="3" t="s">
        <v>289</v>
      </c>
      <c r="E45" s="1" t="s">
        <v>290</v>
      </c>
      <c r="F45" s="1" t="s">
        <v>291</v>
      </c>
      <c r="G45" s="4" t="n">
        <f aca="false">SUM(H45:J45)</f>
        <v>10</v>
      </c>
      <c r="H45" s="4" t="n">
        <v>10</v>
      </c>
      <c r="I45" s="4"/>
      <c r="J45" s="4"/>
      <c r="K45" s="1" t="s">
        <v>292</v>
      </c>
      <c r="L45" s="5" t="s">
        <v>293</v>
      </c>
    </row>
    <row r="46" customFormat="false" ht="22" hidden="false" customHeight="true" outlineLevel="0" collapsed="false">
      <c r="A46" s="1" t="s">
        <v>294</v>
      </c>
      <c r="B46" s="1" t="s">
        <v>295</v>
      </c>
      <c r="C46" s="1" t="s">
        <v>296</v>
      </c>
      <c r="D46" s="3" t="s">
        <v>297</v>
      </c>
      <c r="E46" s="1" t="s">
        <v>298</v>
      </c>
      <c r="F46" s="1" t="s">
        <v>299</v>
      </c>
      <c r="G46" s="4" t="n">
        <f aca="false">SUM(H46:J46)</f>
        <v>1000</v>
      </c>
      <c r="H46" s="4" t="n">
        <v>1000</v>
      </c>
      <c r="I46" s="4"/>
      <c r="J46" s="4"/>
      <c r="K46" s="1" t="s">
        <v>300</v>
      </c>
      <c r="L46" s="5"/>
    </row>
    <row r="47" customFormat="false" ht="22" hidden="false" customHeight="true" outlineLevel="0" collapsed="false">
      <c r="A47" s="1" t="s">
        <v>301</v>
      </c>
      <c r="B47" s="1" t="s">
        <v>302</v>
      </c>
      <c r="C47" s="1" t="s">
        <v>303</v>
      </c>
      <c r="D47" s="3" t="s">
        <v>304</v>
      </c>
      <c r="E47" s="1" t="s">
        <v>305</v>
      </c>
      <c r="F47" s="1" t="s">
        <v>177</v>
      </c>
      <c r="G47" s="4" t="n">
        <f aca="false">SUM(H47:J47)</f>
        <v>100</v>
      </c>
      <c r="H47" s="4" t="n">
        <v>100</v>
      </c>
      <c r="I47" s="4"/>
      <c r="J47" s="4"/>
      <c r="K47" s="1" t="s">
        <v>306</v>
      </c>
      <c r="L47" s="5" t="s">
        <v>307</v>
      </c>
    </row>
    <row r="48" customFormat="false" ht="22" hidden="false" customHeight="true" outlineLevel="0" collapsed="false">
      <c r="A48" s="1" t="s">
        <v>308</v>
      </c>
      <c r="B48" s="1" t="s">
        <v>309</v>
      </c>
      <c r="C48" s="1" t="s">
        <v>310</v>
      </c>
      <c r="D48" s="3" t="s">
        <v>311</v>
      </c>
      <c r="E48" s="7" t="s">
        <v>312</v>
      </c>
      <c r="F48" s="1" t="s">
        <v>313</v>
      </c>
      <c r="G48" s="4" t="n">
        <f aca="false">SUM(H48:J48)</f>
        <v>500</v>
      </c>
      <c r="H48" s="4" t="n">
        <v>500</v>
      </c>
      <c r="I48" s="4"/>
      <c r="J48" s="4"/>
      <c r="K48" s="1" t="s">
        <v>314</v>
      </c>
      <c r="L48" s="5" t="s">
        <v>315</v>
      </c>
    </row>
    <row r="49" customFormat="false" ht="22" hidden="false" customHeight="true" outlineLevel="0" collapsed="false">
      <c r="A49" s="1" t="s">
        <v>316</v>
      </c>
      <c r="B49" s="1" t="s">
        <v>317</v>
      </c>
      <c r="C49" s="1" t="s">
        <v>318</v>
      </c>
      <c r="D49" s="3" t="s">
        <v>319</v>
      </c>
      <c r="E49" s="7" t="s">
        <v>320</v>
      </c>
      <c r="F49" s="7" t="s">
        <v>321</v>
      </c>
      <c r="G49" s="4" t="n">
        <f aca="false">SUM(H49:J49)</f>
        <v>100</v>
      </c>
      <c r="H49" s="4" t="n">
        <v>100</v>
      </c>
      <c r="I49" s="4"/>
      <c r="J49" s="4"/>
      <c r="K49" s="1" t="s">
        <v>322</v>
      </c>
      <c r="L49" s="5" t="s">
        <v>323</v>
      </c>
    </row>
    <row r="50" customFormat="false" ht="22" hidden="false" customHeight="true" outlineLevel="0" collapsed="false">
      <c r="A50" s="1" t="s">
        <v>324</v>
      </c>
      <c r="B50" s="1" t="s">
        <v>325</v>
      </c>
      <c r="C50" s="1" t="s">
        <v>310</v>
      </c>
      <c r="D50" s="3" t="s">
        <v>326</v>
      </c>
      <c r="E50" s="1" t="s">
        <v>327</v>
      </c>
      <c r="F50" s="1" t="s">
        <v>313</v>
      </c>
      <c r="G50" s="4" t="n">
        <f aca="false">SUM(H50:J50)</f>
        <v>1000</v>
      </c>
      <c r="H50" s="4" t="n">
        <v>1000</v>
      </c>
      <c r="I50" s="4"/>
      <c r="J50" s="4"/>
      <c r="K50" s="1" t="s">
        <v>328</v>
      </c>
      <c r="L50" s="5" t="s">
        <v>329</v>
      </c>
    </row>
    <row r="51" customFormat="false" ht="22" hidden="false" customHeight="true" outlineLevel="0" collapsed="false">
      <c r="A51" s="1" t="s">
        <v>330</v>
      </c>
      <c r="B51" s="1" t="s">
        <v>331</v>
      </c>
      <c r="C51" s="1" t="s">
        <v>332</v>
      </c>
      <c r="D51" s="3" t="s">
        <v>333</v>
      </c>
      <c r="E51" s="1" t="s">
        <v>234</v>
      </c>
      <c r="F51" s="1" t="s">
        <v>334</v>
      </c>
      <c r="G51" s="4" t="n">
        <f aca="false">SUM(H51:J51)</f>
        <v>6</v>
      </c>
      <c r="H51" s="4" t="n">
        <v>6</v>
      </c>
      <c r="I51" s="4"/>
      <c r="J51" s="4"/>
      <c r="K51" s="1" t="s">
        <v>335</v>
      </c>
      <c r="L51" s="5" t="s">
        <v>336</v>
      </c>
    </row>
    <row r="52" customFormat="false" ht="22" hidden="false" customHeight="true" outlineLevel="0" collapsed="false">
      <c r="A52" s="1" t="s">
        <v>337</v>
      </c>
      <c r="B52" s="1" t="s">
        <v>338</v>
      </c>
      <c r="C52" s="1" t="s">
        <v>339</v>
      </c>
      <c r="D52" s="3" t="s">
        <v>340</v>
      </c>
      <c r="E52" s="1" t="s">
        <v>341</v>
      </c>
      <c r="F52" s="1" t="s">
        <v>268</v>
      </c>
      <c r="G52" s="4" t="n">
        <f aca="false">SUM(H52:J52)</f>
        <v>20</v>
      </c>
      <c r="H52" s="4" t="n">
        <v>20</v>
      </c>
      <c r="I52" s="4"/>
      <c r="J52" s="4"/>
      <c r="K52" s="1" t="s">
        <v>342</v>
      </c>
      <c r="L52" s="5" t="s">
        <v>343</v>
      </c>
    </row>
    <row r="53" customFormat="false" ht="22" hidden="false" customHeight="true" outlineLevel="0" collapsed="false">
      <c r="A53" s="1" t="s">
        <v>344</v>
      </c>
      <c r="B53" s="1" t="s">
        <v>345</v>
      </c>
      <c r="C53" s="1" t="s">
        <v>265</v>
      </c>
      <c r="D53" s="3" t="s">
        <v>346</v>
      </c>
      <c r="E53" s="1" t="s">
        <v>347</v>
      </c>
      <c r="F53" s="1" t="s">
        <v>268</v>
      </c>
      <c r="G53" s="4" t="n">
        <f aca="false">SUM(H53:J53)</f>
        <v>16</v>
      </c>
      <c r="H53" s="4" t="n">
        <v>16</v>
      </c>
      <c r="I53" s="4"/>
      <c r="J53" s="4"/>
      <c r="K53" s="1" t="s">
        <v>348</v>
      </c>
      <c r="L53" s="5" t="s">
        <v>349</v>
      </c>
    </row>
    <row r="54" customFormat="false" ht="22" hidden="false" customHeight="true" outlineLevel="0" collapsed="false">
      <c r="A54" s="1" t="s">
        <v>350</v>
      </c>
      <c r="B54" s="1" t="s">
        <v>351</v>
      </c>
      <c r="C54" s="1" t="s">
        <v>352</v>
      </c>
      <c r="D54" s="3" t="s">
        <v>353</v>
      </c>
      <c r="E54" s="1" t="s">
        <v>354</v>
      </c>
      <c r="F54" s="1" t="s">
        <v>154</v>
      </c>
      <c r="G54" s="4" t="n">
        <f aca="false">SUM(H54:J54)</f>
        <v>7</v>
      </c>
      <c r="H54" s="4" t="n">
        <v>7</v>
      </c>
      <c r="I54" s="4"/>
      <c r="J54" s="4"/>
      <c r="K54" s="1" t="s">
        <v>355</v>
      </c>
      <c r="L54" s="5"/>
    </row>
    <row r="55" customFormat="false" ht="22" hidden="false" customHeight="true" outlineLevel="0" collapsed="false">
      <c r="A55" s="1" t="s">
        <v>350</v>
      </c>
      <c r="B55" s="1" t="s">
        <v>356</v>
      </c>
      <c r="C55" s="1" t="s">
        <v>357</v>
      </c>
      <c r="D55" s="3" t="s">
        <v>358</v>
      </c>
      <c r="E55" s="1" t="s">
        <v>359</v>
      </c>
      <c r="F55" s="1" t="s">
        <v>360</v>
      </c>
      <c r="G55" s="4" t="n">
        <f aca="false">SUM(H55:J55)</f>
        <v>2</v>
      </c>
      <c r="H55" s="4" t="n">
        <v>2</v>
      </c>
      <c r="I55" s="4"/>
      <c r="J55" s="4"/>
      <c r="K55" s="1" t="s">
        <v>361</v>
      </c>
      <c r="L55" s="5"/>
    </row>
    <row r="56" customFormat="false" ht="22" hidden="false" customHeight="true" outlineLevel="0" collapsed="false">
      <c r="A56" s="1" t="s">
        <v>362</v>
      </c>
      <c r="B56" s="1" t="s">
        <v>363</v>
      </c>
      <c r="C56" s="1" t="s">
        <v>70</v>
      </c>
      <c r="D56" s="3" t="s">
        <v>364</v>
      </c>
      <c r="E56" s="1" t="s">
        <v>365</v>
      </c>
      <c r="F56" s="1" t="s">
        <v>366</v>
      </c>
      <c r="G56" s="4" t="n">
        <f aca="false">SUM(H56:J56)</f>
        <v>1000</v>
      </c>
      <c r="H56" s="4" t="n">
        <v>1000</v>
      </c>
      <c r="I56" s="4"/>
      <c r="J56" s="4"/>
      <c r="K56" s="1" t="s">
        <v>367</v>
      </c>
      <c r="L56" s="5" t="s">
        <v>368</v>
      </c>
    </row>
    <row r="57" customFormat="false" ht="22" hidden="false" customHeight="true" outlineLevel="0" collapsed="false">
      <c r="A57" s="1" t="s">
        <v>362</v>
      </c>
      <c r="B57" s="1" t="s">
        <v>369</v>
      </c>
      <c r="C57" s="1" t="s">
        <v>70</v>
      </c>
      <c r="D57" s="3" t="s">
        <v>370</v>
      </c>
      <c r="E57" s="1" t="s">
        <v>365</v>
      </c>
      <c r="F57" s="1" t="s">
        <v>366</v>
      </c>
      <c r="G57" s="4" t="n">
        <f aca="false">SUM(H57:J57)</f>
        <v>1000</v>
      </c>
      <c r="H57" s="4" t="n">
        <v>1000</v>
      </c>
      <c r="I57" s="4"/>
      <c r="J57" s="4"/>
      <c r="K57" s="1" t="s">
        <v>371</v>
      </c>
      <c r="L57" s="5" t="s">
        <v>372</v>
      </c>
    </row>
    <row r="58" customFormat="false" ht="22" hidden="false" customHeight="true" outlineLevel="0" collapsed="false">
      <c r="A58" s="1" t="s">
        <v>362</v>
      </c>
      <c r="B58" s="1" t="s">
        <v>373</v>
      </c>
      <c r="C58" s="1" t="s">
        <v>70</v>
      </c>
      <c r="D58" s="3" t="s">
        <v>374</v>
      </c>
      <c r="E58" s="1" t="s">
        <v>365</v>
      </c>
      <c r="F58" s="1" t="s">
        <v>366</v>
      </c>
      <c r="G58" s="4" t="n">
        <f aca="false">SUM(H58:J58)</f>
        <v>1000</v>
      </c>
      <c r="H58" s="4" t="n">
        <v>1000</v>
      </c>
      <c r="I58" s="4"/>
      <c r="J58" s="4"/>
      <c r="K58" s="1" t="s">
        <v>375</v>
      </c>
      <c r="L58" s="5"/>
    </row>
    <row r="59" customFormat="false" ht="22" hidden="false" customHeight="true" outlineLevel="0" collapsed="false">
      <c r="A59" s="1" t="s">
        <v>362</v>
      </c>
      <c r="B59" s="1" t="s">
        <v>376</v>
      </c>
      <c r="C59" s="1" t="s">
        <v>76</v>
      </c>
      <c r="D59" s="3" t="s">
        <v>377</v>
      </c>
      <c r="E59" s="1" t="s">
        <v>365</v>
      </c>
      <c r="F59" s="1" t="s">
        <v>378</v>
      </c>
      <c r="G59" s="4" t="n">
        <f aca="false">SUM(H59:J59)</f>
        <v>2000</v>
      </c>
      <c r="H59" s="4" t="n">
        <v>2000</v>
      </c>
      <c r="I59" s="4"/>
      <c r="J59" s="4"/>
      <c r="K59" s="1" t="s">
        <v>379</v>
      </c>
      <c r="L59" s="5" t="s">
        <v>380</v>
      </c>
    </row>
    <row r="60" customFormat="false" ht="22" hidden="false" customHeight="true" outlineLevel="0" collapsed="false">
      <c r="A60" s="1" t="s">
        <v>362</v>
      </c>
      <c r="B60" s="1" t="s">
        <v>381</v>
      </c>
      <c r="C60" s="1" t="s">
        <v>70</v>
      </c>
      <c r="D60" s="3" t="s">
        <v>382</v>
      </c>
      <c r="E60" s="1" t="s">
        <v>365</v>
      </c>
      <c r="F60" s="1" t="s">
        <v>366</v>
      </c>
      <c r="G60" s="4" t="n">
        <f aca="false">SUM(H60:J60)</f>
        <v>1000</v>
      </c>
      <c r="H60" s="4" t="n">
        <v>1000</v>
      </c>
      <c r="I60" s="4"/>
      <c r="J60" s="4"/>
      <c r="K60" s="1" t="s">
        <v>383</v>
      </c>
      <c r="L60" s="5" t="s">
        <v>384</v>
      </c>
    </row>
    <row r="61" customFormat="false" ht="22" hidden="false" customHeight="true" outlineLevel="0" collapsed="false">
      <c r="A61" s="1" t="s">
        <v>362</v>
      </c>
      <c r="B61" s="1" t="s">
        <v>385</v>
      </c>
      <c r="C61" s="1" t="s">
        <v>70</v>
      </c>
      <c r="D61" s="3" t="s">
        <v>386</v>
      </c>
      <c r="E61" s="1" t="s">
        <v>365</v>
      </c>
      <c r="F61" s="1" t="s">
        <v>366</v>
      </c>
      <c r="G61" s="4" t="n">
        <f aca="false">SUM(H61:J61)</f>
        <v>1000</v>
      </c>
      <c r="H61" s="4"/>
      <c r="I61" s="4" t="n">
        <v>1000</v>
      </c>
      <c r="J61" s="4"/>
      <c r="K61" s="1" t="s">
        <v>387</v>
      </c>
      <c r="L61" s="5" t="s">
        <v>388</v>
      </c>
    </row>
    <row r="62" customFormat="false" ht="22" hidden="false" customHeight="true" outlineLevel="0" collapsed="false">
      <c r="A62" s="1" t="s">
        <v>362</v>
      </c>
      <c r="B62" s="1" t="s">
        <v>389</v>
      </c>
      <c r="C62" s="1" t="s">
        <v>70</v>
      </c>
      <c r="D62" s="3" t="s">
        <v>390</v>
      </c>
      <c r="E62" s="1" t="s">
        <v>365</v>
      </c>
      <c r="F62" s="1" t="s">
        <v>366</v>
      </c>
      <c r="G62" s="4" t="n">
        <f aca="false">SUM(H62:J62)</f>
        <v>500</v>
      </c>
      <c r="H62" s="4" t="n">
        <v>500</v>
      </c>
      <c r="I62" s="4"/>
      <c r="J62" s="4"/>
      <c r="K62" s="1" t="s">
        <v>391</v>
      </c>
      <c r="L62" s="5" t="s">
        <v>392</v>
      </c>
    </row>
    <row r="63" customFormat="false" ht="22" hidden="false" customHeight="true" outlineLevel="0" collapsed="false">
      <c r="A63" s="1" t="s">
        <v>362</v>
      </c>
      <c r="B63" s="1" t="s">
        <v>393</v>
      </c>
      <c r="C63" s="1" t="n">
        <v>1206</v>
      </c>
      <c r="D63" s="3" t="s">
        <v>394</v>
      </c>
      <c r="E63" s="1" t="s">
        <v>365</v>
      </c>
      <c r="F63" s="1" t="s">
        <v>366</v>
      </c>
      <c r="G63" s="4" t="n">
        <f aca="false">SUM(H63:J63)</f>
        <v>1000</v>
      </c>
      <c r="H63" s="4" t="n">
        <v>1000</v>
      </c>
      <c r="I63" s="4"/>
      <c r="J63" s="4"/>
      <c r="K63" s="1" t="s">
        <v>395</v>
      </c>
      <c r="L63" s="5"/>
    </row>
    <row r="64" customFormat="false" ht="22" hidden="false" customHeight="true" outlineLevel="0" collapsed="false">
      <c r="A64" s="1" t="s">
        <v>362</v>
      </c>
      <c r="B64" s="1" t="s">
        <v>396</v>
      </c>
      <c r="C64" s="1" t="s">
        <v>70</v>
      </c>
      <c r="D64" s="3" t="s">
        <v>397</v>
      </c>
      <c r="E64" s="1" t="s">
        <v>365</v>
      </c>
      <c r="F64" s="1" t="s">
        <v>366</v>
      </c>
      <c r="G64" s="4" t="n">
        <f aca="false">SUM(H64:J64)</f>
        <v>1000</v>
      </c>
      <c r="H64" s="4" t="n">
        <v>1000</v>
      </c>
      <c r="I64" s="4"/>
      <c r="J64" s="4"/>
      <c r="K64" s="1" t="s">
        <v>398</v>
      </c>
      <c r="L64" s="5" t="s">
        <v>399</v>
      </c>
    </row>
    <row r="65" customFormat="false" ht="22" hidden="false" customHeight="true" outlineLevel="0" collapsed="false">
      <c r="A65" s="1" t="s">
        <v>362</v>
      </c>
      <c r="B65" s="1" t="s">
        <v>400</v>
      </c>
      <c r="C65" s="1" t="s">
        <v>70</v>
      </c>
      <c r="D65" s="3" t="s">
        <v>401</v>
      </c>
      <c r="E65" s="1" t="s">
        <v>365</v>
      </c>
      <c r="F65" s="1" t="s">
        <v>366</v>
      </c>
      <c r="G65" s="4" t="n">
        <f aca="false">SUM(H65:J65)</f>
        <v>0</v>
      </c>
      <c r="H65" s="4" t="n">
        <v>0</v>
      </c>
      <c r="I65" s="4"/>
      <c r="J65" s="4"/>
      <c r="K65" s="1" t="s">
        <v>402</v>
      </c>
      <c r="L65" s="5" t="s">
        <v>403</v>
      </c>
    </row>
    <row r="66" customFormat="false" ht="22" hidden="false" customHeight="true" outlineLevel="0" collapsed="false">
      <c r="A66" s="1" t="s">
        <v>362</v>
      </c>
      <c r="B66" s="8" t="s">
        <v>404</v>
      </c>
      <c r="C66" s="1" t="s">
        <v>76</v>
      </c>
      <c r="D66" s="8" t="s">
        <v>405</v>
      </c>
      <c r="E66" s="8" t="s">
        <v>365</v>
      </c>
      <c r="F66" s="8" t="s">
        <v>378</v>
      </c>
      <c r="G66" s="4" t="n">
        <f aca="false">SUM(H66:J66)</f>
        <v>2000</v>
      </c>
      <c r="H66" s="1" t="n">
        <v>2000</v>
      </c>
      <c r="K66" s="8" t="s">
        <v>406</v>
      </c>
      <c r="L66" s="9" t="s">
        <v>407</v>
      </c>
    </row>
    <row r="67" customFormat="false" ht="22" hidden="false" customHeight="true" outlineLevel="0" collapsed="false">
      <c r="A67" s="1" t="s">
        <v>362</v>
      </c>
      <c r="B67" s="1" t="s">
        <v>408</v>
      </c>
      <c r="C67" s="1" t="s">
        <v>70</v>
      </c>
      <c r="D67" s="3" t="s">
        <v>409</v>
      </c>
      <c r="E67" s="1" t="s">
        <v>365</v>
      </c>
      <c r="F67" s="1" t="s">
        <v>366</v>
      </c>
      <c r="G67" s="4" t="n">
        <f aca="false">SUM(H67:J67)</f>
        <v>1000</v>
      </c>
      <c r="H67" s="4" t="n">
        <v>1000</v>
      </c>
      <c r="I67" s="4"/>
      <c r="J67" s="4"/>
      <c r="K67" s="1" t="s">
        <v>410</v>
      </c>
      <c r="L67" s="5" t="s">
        <v>411</v>
      </c>
    </row>
    <row r="68" customFormat="false" ht="22" hidden="false" customHeight="true" outlineLevel="0" collapsed="false">
      <c r="A68" s="1" t="s">
        <v>362</v>
      </c>
      <c r="B68" s="1" t="s">
        <v>412</v>
      </c>
      <c r="C68" s="1" t="s">
        <v>76</v>
      </c>
      <c r="D68" s="3" t="s">
        <v>413</v>
      </c>
      <c r="E68" s="1" t="s">
        <v>365</v>
      </c>
      <c r="F68" s="1" t="s">
        <v>378</v>
      </c>
      <c r="G68" s="4" t="n">
        <f aca="false">SUM(H68:J68)</f>
        <v>2100</v>
      </c>
      <c r="H68" s="4" t="n">
        <v>2000</v>
      </c>
      <c r="I68" s="4" t="n">
        <v>100</v>
      </c>
      <c r="J68" s="4"/>
      <c r="K68" s="1" t="s">
        <v>414</v>
      </c>
      <c r="L68" s="5" t="s">
        <v>415</v>
      </c>
    </row>
    <row r="69" customFormat="false" ht="22" hidden="false" customHeight="true" outlineLevel="0" collapsed="false">
      <c r="A69" s="1" t="s">
        <v>362</v>
      </c>
      <c r="B69" s="1" t="s">
        <v>416</v>
      </c>
      <c r="C69" s="1" t="s">
        <v>70</v>
      </c>
      <c r="D69" s="3" t="s">
        <v>417</v>
      </c>
      <c r="E69" s="1" t="s">
        <v>365</v>
      </c>
      <c r="F69" s="1" t="s">
        <v>366</v>
      </c>
      <c r="G69" s="4" t="n">
        <f aca="false">SUM(H69:J69)</f>
        <v>1000</v>
      </c>
      <c r="H69" s="4" t="n">
        <v>1000</v>
      </c>
      <c r="I69" s="4"/>
      <c r="J69" s="4"/>
      <c r="K69" s="1" t="s">
        <v>418</v>
      </c>
      <c r="L69" s="5"/>
    </row>
    <row r="70" customFormat="false" ht="22" hidden="false" customHeight="true" outlineLevel="0" collapsed="false">
      <c r="A70" s="1" t="s">
        <v>362</v>
      </c>
      <c r="B70" s="1" t="s">
        <v>419</v>
      </c>
      <c r="C70" s="1" t="s">
        <v>76</v>
      </c>
      <c r="D70" s="3" t="s">
        <v>420</v>
      </c>
      <c r="E70" s="1" t="s">
        <v>365</v>
      </c>
      <c r="F70" s="1" t="s">
        <v>378</v>
      </c>
      <c r="G70" s="4" t="n">
        <f aca="false">SUM(H70:J70)</f>
        <v>1000</v>
      </c>
      <c r="H70" s="4" t="n">
        <v>1000</v>
      </c>
      <c r="I70" s="4"/>
      <c r="J70" s="4"/>
      <c r="K70" s="1" t="s">
        <v>421</v>
      </c>
      <c r="L70" s="5"/>
    </row>
    <row r="71" customFormat="false" ht="22" hidden="false" customHeight="true" outlineLevel="0" collapsed="false">
      <c r="A71" s="1" t="s">
        <v>362</v>
      </c>
      <c r="B71" s="1" t="s">
        <v>422</v>
      </c>
      <c r="C71" s="1" t="n">
        <v>1206</v>
      </c>
      <c r="D71" s="3" t="s">
        <v>423</v>
      </c>
      <c r="E71" s="1" t="s">
        <v>365</v>
      </c>
      <c r="F71" s="1" t="s">
        <v>366</v>
      </c>
      <c r="G71" s="4" t="n">
        <f aca="false">SUM(H71:J71)</f>
        <v>1000</v>
      </c>
      <c r="H71" s="4" t="n">
        <v>1000</v>
      </c>
      <c r="I71" s="4"/>
      <c r="J71" s="4"/>
      <c r="K71" s="1" t="s">
        <v>424</v>
      </c>
      <c r="L71" s="5"/>
    </row>
    <row r="72" customFormat="false" ht="22" hidden="false" customHeight="true" outlineLevel="0" collapsed="false">
      <c r="A72" s="1" t="s">
        <v>362</v>
      </c>
      <c r="B72" s="1" t="s">
        <v>425</v>
      </c>
      <c r="C72" s="1" t="s">
        <v>70</v>
      </c>
      <c r="D72" s="3" t="s">
        <v>426</v>
      </c>
      <c r="E72" s="1" t="s">
        <v>365</v>
      </c>
      <c r="F72" s="1" t="s">
        <v>366</v>
      </c>
      <c r="G72" s="4" t="n">
        <f aca="false">SUM(H72:J72)</f>
        <v>1000</v>
      </c>
      <c r="H72" s="4" t="n">
        <v>1000</v>
      </c>
      <c r="I72" s="4"/>
      <c r="J72" s="4"/>
      <c r="K72" s="1" t="s">
        <v>427</v>
      </c>
      <c r="L72" s="5"/>
    </row>
    <row r="73" customFormat="false" ht="22" hidden="false" customHeight="true" outlineLevel="0" collapsed="false">
      <c r="A73" s="1" t="s">
        <v>362</v>
      </c>
      <c r="B73" s="1" t="s">
        <v>428</v>
      </c>
      <c r="C73" s="1" t="s">
        <v>70</v>
      </c>
      <c r="D73" s="3" t="s">
        <v>429</v>
      </c>
      <c r="E73" s="1" t="s">
        <v>365</v>
      </c>
      <c r="F73" s="1" t="s">
        <v>366</v>
      </c>
      <c r="G73" s="4" t="n">
        <f aca="false">SUM(H73:J73)</f>
        <v>100</v>
      </c>
      <c r="H73" s="4" t="n">
        <v>100</v>
      </c>
      <c r="I73" s="4"/>
      <c r="J73" s="4"/>
      <c r="K73" s="1" t="s">
        <v>430</v>
      </c>
      <c r="L73" s="5"/>
    </row>
    <row r="74" customFormat="false" ht="22" hidden="false" customHeight="true" outlineLevel="0" collapsed="false">
      <c r="A74" s="1" t="s">
        <v>362</v>
      </c>
      <c r="B74" s="1" t="s">
        <v>431</v>
      </c>
      <c r="C74" s="1" t="s">
        <v>70</v>
      </c>
      <c r="D74" s="3" t="s">
        <v>432</v>
      </c>
      <c r="E74" s="1" t="s">
        <v>365</v>
      </c>
      <c r="F74" s="1" t="s">
        <v>366</v>
      </c>
      <c r="G74" s="4" t="n">
        <f aca="false">SUM(H74:J74)</f>
        <v>1000</v>
      </c>
      <c r="H74" s="4" t="n">
        <v>1000</v>
      </c>
      <c r="I74" s="4"/>
      <c r="J74" s="4"/>
      <c r="K74" s="1" t="s">
        <v>433</v>
      </c>
      <c r="L74" s="5" t="s">
        <v>434</v>
      </c>
    </row>
    <row r="75" customFormat="false" ht="22" hidden="false" customHeight="true" outlineLevel="0" collapsed="false">
      <c r="A75" s="1" t="s">
        <v>362</v>
      </c>
      <c r="B75" s="1" t="s">
        <v>431</v>
      </c>
      <c r="C75" s="1" t="s">
        <v>76</v>
      </c>
      <c r="D75" s="3" t="s">
        <v>435</v>
      </c>
      <c r="E75" s="1" t="s">
        <v>365</v>
      </c>
      <c r="F75" s="1" t="s">
        <v>378</v>
      </c>
      <c r="G75" s="4" t="n">
        <f aca="false">SUM(H75:J75)</f>
        <v>2000</v>
      </c>
      <c r="H75" s="4" t="n">
        <v>2000</v>
      </c>
      <c r="I75" s="4"/>
      <c r="J75" s="4"/>
      <c r="K75" s="1" t="s">
        <v>436</v>
      </c>
      <c r="L75" s="5" t="s">
        <v>437</v>
      </c>
    </row>
    <row r="76" customFormat="false" ht="22" hidden="false" customHeight="true" outlineLevel="0" collapsed="false">
      <c r="A76" s="1" t="s">
        <v>362</v>
      </c>
      <c r="B76" s="8" t="s">
        <v>438</v>
      </c>
      <c r="C76" s="1" t="s">
        <v>76</v>
      </c>
      <c r="D76" s="8" t="s">
        <v>439</v>
      </c>
      <c r="E76" s="8" t="s">
        <v>365</v>
      </c>
      <c r="F76" s="8" t="s">
        <v>378</v>
      </c>
      <c r="G76" s="4" t="n">
        <f aca="false">SUM(H76:J76)</f>
        <v>2000</v>
      </c>
      <c r="H76" s="1" t="n">
        <v>2000</v>
      </c>
      <c r="K76" s="8" t="s">
        <v>440</v>
      </c>
      <c r="L76" s="1" t="s">
        <v>441</v>
      </c>
    </row>
    <row r="77" customFormat="false" ht="22" hidden="false" customHeight="true" outlineLevel="0" collapsed="false">
      <c r="A77" s="1" t="s">
        <v>362</v>
      </c>
      <c r="B77" s="1" t="s">
        <v>442</v>
      </c>
      <c r="C77" s="1" t="s">
        <v>443</v>
      </c>
      <c r="D77" s="3" t="s">
        <v>444</v>
      </c>
      <c r="E77" s="1" t="s">
        <v>365</v>
      </c>
      <c r="F77" s="1" t="s">
        <v>445</v>
      </c>
      <c r="G77" s="4" t="n">
        <f aca="false">SUM(H77:J77)</f>
        <v>100</v>
      </c>
      <c r="H77" s="4" t="n">
        <v>100</v>
      </c>
      <c r="I77" s="4"/>
      <c r="J77" s="4"/>
      <c r="K77" s="1" t="s">
        <v>446</v>
      </c>
      <c r="L77" s="5"/>
    </row>
    <row r="78" customFormat="false" ht="22" hidden="false" customHeight="true" outlineLevel="0" collapsed="false">
      <c r="A78" s="1" t="s">
        <v>362</v>
      </c>
      <c r="B78" s="1" t="s">
        <v>447</v>
      </c>
      <c r="C78" s="1" t="s">
        <v>70</v>
      </c>
      <c r="D78" s="3" t="s">
        <v>448</v>
      </c>
      <c r="E78" s="1" t="s">
        <v>365</v>
      </c>
      <c r="F78" s="1" t="s">
        <v>366</v>
      </c>
      <c r="G78" s="4" t="n">
        <f aca="false">SUM(H78:J78)</f>
        <v>1000</v>
      </c>
      <c r="H78" s="4" t="n">
        <v>1000</v>
      </c>
      <c r="I78" s="4"/>
      <c r="J78" s="4"/>
      <c r="K78" s="1" t="s">
        <v>449</v>
      </c>
      <c r="L78" s="5" t="s">
        <v>450</v>
      </c>
    </row>
    <row r="79" customFormat="false" ht="22" hidden="false" customHeight="true" outlineLevel="0" collapsed="false">
      <c r="A79" s="1" t="s">
        <v>362</v>
      </c>
      <c r="B79" s="1" t="s">
        <v>451</v>
      </c>
      <c r="C79" s="1" t="s">
        <v>76</v>
      </c>
      <c r="D79" s="3" t="s">
        <v>452</v>
      </c>
      <c r="E79" s="1" t="s">
        <v>365</v>
      </c>
      <c r="F79" s="1" t="s">
        <v>378</v>
      </c>
      <c r="G79" s="4" t="n">
        <f aca="false">SUM(H79:J79)</f>
        <v>1000</v>
      </c>
      <c r="H79" s="4" t="n">
        <v>1000</v>
      </c>
      <c r="I79" s="4"/>
      <c r="J79" s="4"/>
      <c r="K79" s="1" t="s">
        <v>453</v>
      </c>
      <c r="L79" s="5"/>
    </row>
    <row r="80" customFormat="false" ht="22" hidden="false" customHeight="true" outlineLevel="0" collapsed="false">
      <c r="A80" s="1" t="s">
        <v>362</v>
      </c>
      <c r="B80" s="1" t="s">
        <v>454</v>
      </c>
      <c r="C80" s="1" t="s">
        <v>76</v>
      </c>
      <c r="D80" s="3" t="s">
        <v>455</v>
      </c>
      <c r="E80" s="1" t="s">
        <v>365</v>
      </c>
      <c r="F80" s="1" t="s">
        <v>378</v>
      </c>
      <c r="G80" s="4" t="n">
        <f aca="false">SUM(H80:J80)</f>
        <v>1000</v>
      </c>
      <c r="H80" s="4" t="n">
        <v>1000</v>
      </c>
      <c r="I80" s="4"/>
      <c r="J80" s="4"/>
      <c r="K80" s="1" t="s">
        <v>456</v>
      </c>
      <c r="L80" s="5" t="s">
        <v>457</v>
      </c>
    </row>
    <row r="81" customFormat="false" ht="22" hidden="false" customHeight="true" outlineLevel="0" collapsed="false">
      <c r="A81" s="1" t="s">
        <v>362</v>
      </c>
      <c r="B81" s="1" t="s">
        <v>458</v>
      </c>
      <c r="C81" s="1" t="n">
        <v>1206</v>
      </c>
      <c r="D81" s="3" t="s">
        <v>459</v>
      </c>
      <c r="E81" s="1" t="s">
        <v>365</v>
      </c>
      <c r="F81" s="1" t="s">
        <v>366</v>
      </c>
      <c r="G81" s="4" t="n">
        <f aca="false">SUM(H81:J81)</f>
        <v>1000</v>
      </c>
      <c r="H81" s="4" t="n">
        <v>1000</v>
      </c>
      <c r="I81" s="4"/>
      <c r="J81" s="4"/>
      <c r="K81" s="1" t="s">
        <v>460</v>
      </c>
      <c r="L81" s="5" t="s">
        <v>461</v>
      </c>
    </row>
    <row r="82" customFormat="false" ht="22" hidden="false" customHeight="true" outlineLevel="0" collapsed="false">
      <c r="A82" s="1" t="s">
        <v>362</v>
      </c>
      <c r="B82" s="1" t="s">
        <v>462</v>
      </c>
      <c r="C82" s="1" t="n">
        <v>1206</v>
      </c>
      <c r="D82" s="3" t="s">
        <v>463</v>
      </c>
      <c r="E82" s="1" t="s">
        <v>365</v>
      </c>
      <c r="F82" s="1" t="s">
        <v>366</v>
      </c>
      <c r="G82" s="4" t="n">
        <f aca="false">SUM(H82:J82)</f>
        <v>1000</v>
      </c>
      <c r="H82" s="4" t="n">
        <v>1000</v>
      </c>
      <c r="I82" s="4"/>
      <c r="J82" s="4"/>
      <c r="K82" s="1" t="s">
        <v>464</v>
      </c>
      <c r="L82" s="5"/>
    </row>
    <row r="83" customFormat="false" ht="22" hidden="false" customHeight="true" outlineLevel="0" collapsed="false">
      <c r="A83" s="1" t="s">
        <v>465</v>
      </c>
      <c r="B83" s="1" t="s">
        <v>466</v>
      </c>
      <c r="C83" s="1" t="s">
        <v>151</v>
      </c>
      <c r="D83" s="3" t="s">
        <v>467</v>
      </c>
      <c r="E83" s="1" t="s">
        <v>468</v>
      </c>
      <c r="F83" s="1" t="s">
        <v>154</v>
      </c>
      <c r="G83" s="4" t="n">
        <f aca="false">SUM(H83:J83)</f>
        <v>2</v>
      </c>
      <c r="H83" s="4" t="n">
        <v>2</v>
      </c>
      <c r="I83" s="4"/>
      <c r="J83" s="4"/>
      <c r="K83" s="1" t="s">
        <v>469</v>
      </c>
      <c r="L83" s="5" t="s">
        <v>470</v>
      </c>
    </row>
    <row r="84" customFormat="false" ht="22" hidden="false" customHeight="true" outlineLevel="0" collapsed="false">
      <c r="A84" s="8" t="s">
        <v>465</v>
      </c>
      <c r="B84" s="8" t="s">
        <v>471</v>
      </c>
      <c r="C84" s="1" t="s">
        <v>352</v>
      </c>
      <c r="D84" s="8" t="s">
        <v>472</v>
      </c>
      <c r="E84" s="7" t="s">
        <v>473</v>
      </c>
      <c r="F84" s="7" t="s">
        <v>154</v>
      </c>
      <c r="G84" s="4" t="n">
        <f aca="false">SUM(H84:J84)</f>
        <v>200</v>
      </c>
      <c r="H84" s="1" t="n">
        <v>200</v>
      </c>
      <c r="K84" s="8" t="s">
        <v>474</v>
      </c>
      <c r="L84" s="9" t="s">
        <v>475</v>
      </c>
    </row>
    <row r="85" customFormat="false" ht="22" hidden="false" customHeight="true" outlineLevel="0" collapsed="false">
      <c r="A85" s="1" t="s">
        <v>465</v>
      </c>
      <c r="B85" s="1" t="s">
        <v>476</v>
      </c>
      <c r="C85" s="1" t="s">
        <v>151</v>
      </c>
      <c r="D85" s="3" t="s">
        <v>477</v>
      </c>
      <c r="E85" s="1" t="s">
        <v>468</v>
      </c>
      <c r="F85" s="1" t="s">
        <v>154</v>
      </c>
      <c r="G85" s="4" t="n">
        <f aca="false">SUM(H85:J85)</f>
        <v>16</v>
      </c>
      <c r="H85" s="4" t="n">
        <v>16</v>
      </c>
      <c r="I85" s="4"/>
      <c r="J85" s="4"/>
      <c r="K85" s="1" t="s">
        <v>478</v>
      </c>
      <c r="L85" s="5" t="s">
        <v>479</v>
      </c>
    </row>
    <row r="86" customFormat="false" ht="22" hidden="false" customHeight="true" outlineLevel="0" collapsed="false">
      <c r="A86" s="1" t="s">
        <v>480</v>
      </c>
      <c r="B86" s="1" t="s">
        <v>481</v>
      </c>
      <c r="C86" s="1" t="s">
        <v>482</v>
      </c>
      <c r="D86" s="3" t="s">
        <v>483</v>
      </c>
      <c r="E86" s="1" t="s">
        <v>484</v>
      </c>
      <c r="F86" s="1" t="s">
        <v>485</v>
      </c>
      <c r="G86" s="4" t="n">
        <f aca="false">SUM(H86:J86)</f>
        <v>600</v>
      </c>
      <c r="H86" s="4" t="n">
        <v>600</v>
      </c>
      <c r="I86" s="4"/>
      <c r="J86" s="4"/>
      <c r="K86" s="1" t="s">
        <v>486</v>
      </c>
      <c r="L86" s="5" t="s">
        <v>487</v>
      </c>
    </row>
    <row r="87" customFormat="false" ht="22" hidden="false" customHeight="true" outlineLevel="0" collapsed="false">
      <c r="A87" s="1" t="s">
        <v>480</v>
      </c>
      <c r="B87" s="1" t="s">
        <v>488</v>
      </c>
      <c r="C87" s="1" t="s">
        <v>482</v>
      </c>
      <c r="D87" s="3" t="s">
        <v>489</v>
      </c>
      <c r="E87" s="1" t="s">
        <v>484</v>
      </c>
      <c r="F87" s="1" t="s">
        <v>485</v>
      </c>
      <c r="G87" s="4" t="n">
        <f aca="false">SUM(H87:J87)</f>
        <v>200</v>
      </c>
      <c r="H87" s="4" t="n">
        <v>200</v>
      </c>
      <c r="I87" s="4"/>
      <c r="J87" s="4"/>
      <c r="K87" s="1" t="s">
        <v>490</v>
      </c>
      <c r="L87" s="5" t="s">
        <v>491</v>
      </c>
    </row>
    <row r="88" customFormat="false" ht="22" hidden="false" customHeight="true" outlineLevel="0" collapsed="false">
      <c r="A88" s="1" t="s">
        <v>492</v>
      </c>
      <c r="B88" s="1" t="s">
        <v>493</v>
      </c>
      <c r="C88" s="1" t="s">
        <v>494</v>
      </c>
      <c r="D88" s="3" t="s">
        <v>495</v>
      </c>
      <c r="E88" s="1" t="s">
        <v>496</v>
      </c>
      <c r="F88" s="1" t="s">
        <v>497</v>
      </c>
      <c r="G88" s="4" t="n">
        <f aca="false">SUM(H88:J88)</f>
        <v>200</v>
      </c>
      <c r="H88" s="4" t="n">
        <v>200</v>
      </c>
      <c r="I88" s="4"/>
      <c r="J88" s="4"/>
      <c r="K88" s="1" t="s">
        <v>498</v>
      </c>
      <c r="L88" s="5" t="s">
        <v>499</v>
      </c>
    </row>
    <row r="89" customFormat="false" ht="22" hidden="false" customHeight="true" outlineLevel="0" collapsed="false">
      <c r="A89" s="1" t="s">
        <v>492</v>
      </c>
      <c r="B89" s="1" t="s">
        <v>493</v>
      </c>
      <c r="C89" s="1" t="s">
        <v>500</v>
      </c>
      <c r="D89" s="3" t="s">
        <v>501</v>
      </c>
      <c r="E89" s="1" t="s">
        <v>496</v>
      </c>
      <c r="F89" s="1" t="s">
        <v>497</v>
      </c>
      <c r="G89" s="4" t="n">
        <f aca="false">SUM(H89:J89)</f>
        <v>42</v>
      </c>
      <c r="H89" s="4" t="n">
        <v>42</v>
      </c>
      <c r="I89" s="4"/>
      <c r="J89" s="4"/>
      <c r="K89" s="1" t="s">
        <v>498</v>
      </c>
      <c r="L89" s="5" t="s">
        <v>502</v>
      </c>
    </row>
    <row r="90" customFormat="false" ht="22" hidden="false" customHeight="true" outlineLevel="0" collapsed="false">
      <c r="A90" s="1" t="s">
        <v>503</v>
      </c>
      <c r="B90" s="1" t="s">
        <v>504</v>
      </c>
      <c r="C90" s="1" t="s">
        <v>151</v>
      </c>
      <c r="D90" s="3" t="s">
        <v>505</v>
      </c>
      <c r="E90" s="1" t="s">
        <v>506</v>
      </c>
      <c r="F90" s="1" t="s">
        <v>507</v>
      </c>
      <c r="G90" s="4" t="n">
        <f aca="false">SUM(H90:J90)</f>
        <v>44</v>
      </c>
      <c r="H90" s="4" t="n">
        <v>44</v>
      </c>
      <c r="I90" s="4"/>
      <c r="J90" s="4"/>
      <c r="K90" s="1" t="s">
        <v>508</v>
      </c>
      <c r="L90" s="5" t="s">
        <v>509</v>
      </c>
    </row>
    <row r="91" customFormat="false" ht="22" hidden="false" customHeight="true" outlineLevel="0" collapsed="false">
      <c r="A91" s="1" t="s">
        <v>510</v>
      </c>
      <c r="B91" s="1" t="s">
        <v>511</v>
      </c>
      <c r="C91" s="1" t="s">
        <v>482</v>
      </c>
      <c r="D91" s="3" t="s">
        <v>512</v>
      </c>
      <c r="E91" s="1" t="s">
        <v>168</v>
      </c>
      <c r="F91" s="1" t="s">
        <v>485</v>
      </c>
      <c r="G91" s="4" t="n">
        <f aca="false">SUM(H91:J91)</f>
        <v>500</v>
      </c>
      <c r="H91" s="4" t="n">
        <v>500</v>
      </c>
      <c r="I91" s="4"/>
      <c r="J91" s="4"/>
      <c r="K91" s="1" t="s">
        <v>513</v>
      </c>
      <c r="L91" s="5" t="s">
        <v>514</v>
      </c>
    </row>
    <row r="92" customFormat="false" ht="22" hidden="false" customHeight="true" outlineLevel="0" collapsed="false">
      <c r="A92" s="1" t="s">
        <v>515</v>
      </c>
      <c r="B92" s="1" t="s">
        <v>516</v>
      </c>
      <c r="C92" s="1" t="s">
        <v>517</v>
      </c>
      <c r="D92" s="3" t="s">
        <v>518</v>
      </c>
      <c r="E92" s="1" t="s">
        <v>519</v>
      </c>
      <c r="F92" s="1" t="s">
        <v>520</v>
      </c>
      <c r="G92" s="4" t="n">
        <f aca="false">SUM(H92:J92)</f>
        <v>500</v>
      </c>
      <c r="H92" s="4" t="n">
        <v>500</v>
      </c>
      <c r="I92" s="4"/>
      <c r="J92" s="4"/>
      <c r="K92" s="1" t="s">
        <v>521</v>
      </c>
      <c r="L92" s="5" t="s">
        <v>522</v>
      </c>
    </row>
    <row r="93" customFormat="false" ht="22" hidden="false" customHeight="true" outlineLevel="0" collapsed="false">
      <c r="A93" s="1" t="s">
        <v>523</v>
      </c>
      <c r="B93" s="1" t="s">
        <v>524</v>
      </c>
      <c r="C93" s="1" t="s">
        <v>273</v>
      </c>
      <c r="D93" s="3" t="s">
        <v>525</v>
      </c>
      <c r="E93" s="1" t="s">
        <v>526</v>
      </c>
      <c r="F93" s="1" t="s">
        <v>527</v>
      </c>
      <c r="G93" s="4" t="n">
        <f aca="false">SUM(H93:J93)</f>
        <v>0</v>
      </c>
      <c r="H93" s="4" t="n">
        <v>0</v>
      </c>
      <c r="I93" s="4"/>
      <c r="J93" s="4"/>
      <c r="K93" s="1" t="s">
        <v>528</v>
      </c>
      <c r="L93" s="5" t="s">
        <v>529</v>
      </c>
    </row>
    <row r="94" customFormat="false" ht="22" hidden="false" customHeight="true" outlineLevel="0" collapsed="false">
      <c r="A94" s="1" t="s">
        <v>530</v>
      </c>
      <c r="B94" s="1" t="s">
        <v>531</v>
      </c>
      <c r="C94" s="1" t="s">
        <v>532</v>
      </c>
      <c r="D94" s="3" t="s">
        <v>533</v>
      </c>
      <c r="E94" s="8" t="s">
        <v>526</v>
      </c>
      <c r="F94" s="1" t="s">
        <v>527</v>
      </c>
      <c r="G94" s="4" t="n">
        <f aca="false">SUM(H94:J94)</f>
        <v>50</v>
      </c>
      <c r="H94" s="4" t="n">
        <v>50</v>
      </c>
      <c r="I94" s="4"/>
      <c r="J94" s="4"/>
      <c r="K94" s="1" t="s">
        <v>534</v>
      </c>
      <c r="L94" s="5" t="s">
        <v>535</v>
      </c>
    </row>
    <row r="95" customFormat="false" ht="22" hidden="false" customHeight="true" outlineLevel="0" collapsed="false">
      <c r="A95" s="1" t="s">
        <v>530</v>
      </c>
      <c r="B95" s="1" t="s">
        <v>536</v>
      </c>
      <c r="C95" s="1" t="s">
        <v>532</v>
      </c>
      <c r="D95" s="3" t="s">
        <v>537</v>
      </c>
      <c r="E95" s="8" t="s">
        <v>538</v>
      </c>
      <c r="F95" s="1" t="s">
        <v>539</v>
      </c>
      <c r="G95" s="4" t="n">
        <f aca="false">SUM(H95:J95)</f>
        <v>50</v>
      </c>
      <c r="H95" s="4" t="n">
        <v>50</v>
      </c>
      <c r="I95" s="4"/>
      <c r="J95" s="4"/>
      <c r="K95" s="1" t="s">
        <v>540</v>
      </c>
      <c r="L95" s="5" t="s">
        <v>541</v>
      </c>
    </row>
    <row r="96" customFormat="false" ht="22" hidden="false" customHeight="true" outlineLevel="0" collapsed="false">
      <c r="A96" s="1" t="s">
        <v>530</v>
      </c>
      <c r="B96" s="1" t="s">
        <v>542</v>
      </c>
      <c r="C96" s="1" t="s">
        <v>532</v>
      </c>
      <c r="D96" s="3" t="s">
        <v>543</v>
      </c>
      <c r="E96" s="8" t="s">
        <v>544</v>
      </c>
      <c r="F96" s="1" t="s">
        <v>545</v>
      </c>
      <c r="G96" s="4" t="n">
        <f aca="false">SUM(H96:J96)</f>
        <v>50</v>
      </c>
      <c r="H96" s="4" t="n">
        <v>50</v>
      </c>
      <c r="I96" s="4"/>
      <c r="J96" s="4"/>
      <c r="K96" s="1" t="s">
        <v>546</v>
      </c>
      <c r="L96" s="5" t="s">
        <v>547</v>
      </c>
    </row>
    <row r="97" customFormat="false" ht="22" hidden="false" customHeight="true" outlineLevel="0" collapsed="false">
      <c r="A97" s="1" t="s">
        <v>548</v>
      </c>
      <c r="B97" s="1" t="n">
        <v>555</v>
      </c>
      <c r="C97" s="1" t="s">
        <v>352</v>
      </c>
      <c r="D97" s="3" t="s">
        <v>549</v>
      </c>
      <c r="E97" s="1" t="s">
        <v>550</v>
      </c>
      <c r="F97" s="1" t="s">
        <v>154</v>
      </c>
      <c r="G97" s="4" t="n">
        <f aca="false">SUM(H97:J97)</f>
        <v>50</v>
      </c>
      <c r="H97" s="4" t="n">
        <v>50</v>
      </c>
      <c r="I97" s="4"/>
      <c r="J97" s="4"/>
      <c r="K97" s="1" t="s">
        <v>551</v>
      </c>
      <c r="L97" s="5"/>
    </row>
    <row r="98" customFormat="false" ht="22" hidden="false" customHeight="true" outlineLevel="0" collapsed="false">
      <c r="A98" s="1" t="s">
        <v>552</v>
      </c>
      <c r="B98" s="8" t="s">
        <v>553</v>
      </c>
      <c r="C98" s="1" t="s">
        <v>310</v>
      </c>
      <c r="D98" s="8" t="s">
        <v>554</v>
      </c>
      <c r="E98" s="7" t="s">
        <v>555</v>
      </c>
      <c r="F98" s="7" t="s">
        <v>313</v>
      </c>
      <c r="G98" s="4" t="n">
        <f aca="false">SUM(H98:J98)</f>
        <v>2000</v>
      </c>
      <c r="H98" s="1" t="n">
        <v>2000</v>
      </c>
      <c r="K98" s="8" t="s">
        <v>556</v>
      </c>
      <c r="L98" s="9" t="s">
        <v>557</v>
      </c>
    </row>
    <row r="99" customFormat="false" ht="22" hidden="false" customHeight="true" outlineLevel="0" collapsed="false">
      <c r="A99" s="1" t="s">
        <v>552</v>
      </c>
      <c r="B99" s="8" t="s">
        <v>558</v>
      </c>
      <c r="C99" s="1" t="s">
        <v>310</v>
      </c>
      <c r="D99" s="8" t="s">
        <v>559</v>
      </c>
      <c r="E99" s="7" t="s">
        <v>560</v>
      </c>
      <c r="F99" s="7" t="s">
        <v>313</v>
      </c>
      <c r="G99" s="4" t="n">
        <f aca="false">SUM(H99:J99)</f>
        <v>1000</v>
      </c>
      <c r="H99" s="1" t="n">
        <v>1000</v>
      </c>
      <c r="K99" s="8" t="s">
        <v>561</v>
      </c>
      <c r="L99" s="9" t="s">
        <v>562</v>
      </c>
    </row>
    <row r="100" customFormat="false" ht="22" hidden="false" customHeight="true" outlineLevel="0" collapsed="false">
      <c r="A100" s="1" t="s">
        <v>563</v>
      </c>
      <c r="B100" s="1" t="s">
        <v>564</v>
      </c>
      <c r="C100" s="1" t="s">
        <v>565</v>
      </c>
      <c r="D100" s="3" t="s">
        <v>566</v>
      </c>
      <c r="E100" s="7" t="s">
        <v>567</v>
      </c>
      <c r="F100" s="7" t="s">
        <v>568</v>
      </c>
      <c r="G100" s="4" t="n">
        <f aca="false">SUM(H100:J100)</f>
        <v>150</v>
      </c>
      <c r="H100" s="4" t="n">
        <v>150</v>
      </c>
      <c r="I100" s="4"/>
      <c r="J100" s="4"/>
      <c r="K100" s="1" t="s">
        <v>569</v>
      </c>
      <c r="L100" s="5" t="s">
        <v>570</v>
      </c>
    </row>
    <row r="101" customFormat="false" ht="13.8" hidden="false" customHeight="false" outlineLevel="0" collapsed="false">
      <c r="A101" s="1" t="s">
        <v>571</v>
      </c>
      <c r="B101" s="1" t="s">
        <v>572</v>
      </c>
      <c r="C101" s="1" t="s">
        <v>573</v>
      </c>
      <c r="D101" s="3" t="s">
        <v>574</v>
      </c>
      <c r="E101" s="1" t="s">
        <v>575</v>
      </c>
      <c r="F101" s="1" t="s">
        <v>169</v>
      </c>
      <c r="G101" s="4" t="n">
        <f aca="false">SUM(H101:J101)</f>
        <v>300</v>
      </c>
      <c r="H101" s="4" t="n">
        <v>300</v>
      </c>
      <c r="I101" s="4"/>
      <c r="J101" s="4"/>
      <c r="K101" s="1" t="s">
        <v>576</v>
      </c>
      <c r="L101" s="5" t="s">
        <v>577</v>
      </c>
    </row>
    <row r="102" customFormat="false" ht="13.8" hidden="false" customHeight="false" outlineLevel="0" collapsed="false">
      <c r="A102" s="1" t="s">
        <v>578</v>
      </c>
      <c r="B102" s="1" t="s">
        <v>579</v>
      </c>
      <c r="C102" s="1" t="s">
        <v>580</v>
      </c>
      <c r="D102" s="3" t="s">
        <v>581</v>
      </c>
      <c r="E102" s="1" t="s">
        <v>582</v>
      </c>
      <c r="F102" s="1" t="s">
        <v>583</v>
      </c>
      <c r="G102" s="4" t="n">
        <f aca="false">SUM(H102:J102)</f>
        <v>20</v>
      </c>
      <c r="H102" s="4" t="n">
        <v>20</v>
      </c>
      <c r="I102" s="4"/>
      <c r="J102" s="4"/>
      <c r="K102" s="1" t="s">
        <v>584</v>
      </c>
      <c r="L102" s="5"/>
    </row>
    <row r="103" customFormat="false" ht="13.8" hidden="false" customHeight="false" outlineLevel="0" collapsed="false">
      <c r="A103" s="1" t="s">
        <v>585</v>
      </c>
      <c r="B103" s="1" t="s">
        <v>586</v>
      </c>
      <c r="C103" s="1" t="s">
        <v>303</v>
      </c>
      <c r="D103" s="3" t="s">
        <v>587</v>
      </c>
      <c r="E103" s="1" t="s">
        <v>588</v>
      </c>
      <c r="F103" s="1" t="s">
        <v>177</v>
      </c>
      <c r="G103" s="4" t="n">
        <f aca="false">SUM(H103:J103)</f>
        <v>100</v>
      </c>
      <c r="H103" s="4" t="n">
        <v>100</v>
      </c>
      <c r="I103" s="4"/>
      <c r="J103" s="4"/>
      <c r="K103" s="1" t="s">
        <v>589</v>
      </c>
      <c r="L103" s="5" t="s">
        <v>590</v>
      </c>
    </row>
    <row r="104" customFormat="false" ht="13.8" hidden="false" customHeight="false" outlineLevel="0" collapsed="false">
      <c r="A104" s="1" t="s">
        <v>591</v>
      </c>
      <c r="B104" s="1" t="s">
        <v>592</v>
      </c>
      <c r="C104" s="1" t="s">
        <v>310</v>
      </c>
      <c r="D104" s="3" t="s">
        <v>593</v>
      </c>
      <c r="E104" s="1" t="s">
        <v>594</v>
      </c>
      <c r="F104" s="1" t="s">
        <v>595</v>
      </c>
      <c r="G104" s="4" t="n">
        <f aca="false">SUM(H104:J104)</f>
        <v>200</v>
      </c>
      <c r="H104" s="4" t="n">
        <v>200</v>
      </c>
      <c r="I104" s="4"/>
      <c r="J104" s="4"/>
      <c r="K104" s="1" t="s">
        <v>596</v>
      </c>
      <c r="L104" s="5"/>
    </row>
    <row r="105" customFormat="false" ht="13.8" hidden="false" customHeight="false" outlineLevel="0" collapsed="false">
      <c r="A105" s="1" t="s">
        <v>597</v>
      </c>
      <c r="B105" s="1" t="s">
        <v>598</v>
      </c>
      <c r="C105" s="1" t="s">
        <v>599</v>
      </c>
      <c r="D105" s="3" t="s">
        <v>600</v>
      </c>
      <c r="E105" s="1" t="s">
        <v>601</v>
      </c>
      <c r="F105" s="1" t="s">
        <v>602</v>
      </c>
      <c r="G105" s="4" t="n">
        <f aca="false">SUM(H105:J105)</f>
        <v>200</v>
      </c>
      <c r="H105" s="4" t="n">
        <v>200</v>
      </c>
      <c r="I105" s="4"/>
      <c r="J105" s="4"/>
      <c r="K105" s="1" t="s">
        <v>603</v>
      </c>
      <c r="L105" s="5" t="s">
        <v>604</v>
      </c>
    </row>
    <row r="106" customFormat="false" ht="13.8" hidden="false" customHeight="false" outlineLevel="0" collapsed="false">
      <c r="G106" s="4" t="n">
        <f aca="false">SUM(H106:J106)</f>
        <v>0</v>
      </c>
    </row>
    <row r="107" customFormat="false" ht="13.8" hidden="false" customHeight="false" outlineLevel="0" collapsed="false">
      <c r="G107" s="4" t="n">
        <f aca="false">SUM(H107:J107)</f>
        <v>0</v>
      </c>
    </row>
    <row r="108" customFormat="false" ht="13.8" hidden="false" customHeight="false" outlineLevel="0" collapsed="false">
      <c r="G108" s="4" t="n">
        <f aca="false">SUM(H108:J108)</f>
        <v>0</v>
      </c>
    </row>
    <row r="109" customFormat="false" ht="13.8" hidden="false" customHeight="false" outlineLevel="0" collapsed="false">
      <c r="G109" s="4" t="n">
        <f aca="false">SUM(H109:J109)</f>
        <v>0</v>
      </c>
    </row>
    <row r="110" customFormat="false" ht="13.8" hidden="false" customHeight="false" outlineLevel="0" collapsed="false">
      <c r="G110" s="4" t="n">
        <f aca="false">SUM(H110:J110)</f>
        <v>0</v>
      </c>
    </row>
    <row r="111" customFormat="false" ht="13.8" hidden="false" customHeight="false" outlineLevel="0" collapsed="false">
      <c r="G111" s="4" t="n">
        <f aca="false">SUM(H111:J111)</f>
        <v>0</v>
      </c>
    </row>
    <row r="112" customFormat="false" ht="13.8" hidden="false" customHeight="false" outlineLevel="0" collapsed="false">
      <c r="G112" s="4" t="n">
        <f aca="false">SUM(H112:J112)</f>
        <v>0</v>
      </c>
    </row>
    <row r="113" customFormat="false" ht="13.8" hidden="false" customHeight="false" outlineLevel="0" collapsed="false">
      <c r="G113" s="4" t="n">
        <f aca="false">SUM(H113:J113)</f>
        <v>0</v>
      </c>
    </row>
    <row r="114" customFormat="false" ht="13.8" hidden="false" customHeight="false" outlineLevel="0" collapsed="false">
      <c r="G114" s="4" t="n">
        <f aca="false">SUM(H114:J114)</f>
        <v>0</v>
      </c>
    </row>
    <row r="115" customFormat="false" ht="13.8" hidden="false" customHeight="false" outlineLevel="0" collapsed="false">
      <c r="G115" s="4" t="n">
        <f aca="false">SUM(H115:J115)</f>
        <v>0</v>
      </c>
    </row>
    <row r="116" customFormat="false" ht="13.8" hidden="false" customHeight="false" outlineLevel="0" collapsed="false">
      <c r="G116" s="4" t="n">
        <f aca="false">SUM(H116:J116)</f>
        <v>0</v>
      </c>
    </row>
    <row r="117" customFormat="false" ht="13.8" hidden="false" customHeight="false" outlineLevel="0" collapsed="false">
      <c r="G117" s="4" t="n">
        <f aca="false">SUM(H117:J117)</f>
        <v>0</v>
      </c>
    </row>
    <row r="118" customFormat="false" ht="13.8" hidden="false" customHeight="false" outlineLevel="0" collapsed="false">
      <c r="G118" s="4" t="n">
        <f aca="false">SUM(H118:J118)</f>
        <v>0</v>
      </c>
    </row>
    <row r="119" customFormat="false" ht="13.8" hidden="false" customHeight="false" outlineLevel="0" collapsed="false">
      <c r="G119" s="4" t="n">
        <f aca="false">SUM(H119:J119)</f>
        <v>0</v>
      </c>
    </row>
    <row r="120" customFormat="false" ht="13.8" hidden="false" customHeight="false" outlineLevel="0" collapsed="false">
      <c r="G120" s="4" t="n">
        <f aca="false">SUM(H120:J120)</f>
        <v>0</v>
      </c>
    </row>
    <row r="121" customFormat="false" ht="13.8" hidden="false" customHeight="false" outlineLevel="0" collapsed="false">
      <c r="G121" s="4" t="n">
        <f aca="false">SUM(H121:J121)</f>
        <v>0</v>
      </c>
    </row>
    <row r="122" customFormat="false" ht="13.8" hidden="false" customHeight="false" outlineLevel="0" collapsed="false">
      <c r="G122" s="4" t="n">
        <f aca="false">SUM(H122:J122)</f>
        <v>0</v>
      </c>
    </row>
    <row r="123" customFormat="false" ht="13.8" hidden="false" customHeight="false" outlineLevel="0" collapsed="false">
      <c r="G123" s="4" t="n">
        <f aca="false">SUM(H123:J123)</f>
        <v>0</v>
      </c>
    </row>
    <row r="124" customFormat="false" ht="13.8" hidden="false" customHeight="false" outlineLevel="0" collapsed="false">
      <c r="G124" s="4" t="n">
        <f aca="false">SUM(H124:J124)</f>
        <v>0</v>
      </c>
    </row>
    <row r="125" customFormat="false" ht="13.8" hidden="false" customHeight="false" outlineLevel="0" collapsed="false">
      <c r="G125" s="4" t="n">
        <f aca="false">SUM(H125:J125)</f>
        <v>0</v>
      </c>
    </row>
    <row r="126" customFormat="false" ht="13.8" hidden="false" customHeight="false" outlineLevel="0" collapsed="false">
      <c r="G126" s="4" t="n">
        <f aca="false">SUM(H126:J126)</f>
        <v>0</v>
      </c>
    </row>
    <row r="127" customFormat="false" ht="13.8" hidden="false" customHeight="false" outlineLevel="0" collapsed="false">
      <c r="G127" s="4" t="n">
        <f aca="false">SUM(H127:J127)</f>
        <v>0</v>
      </c>
    </row>
    <row r="128" customFormat="false" ht="13.8" hidden="false" customHeight="false" outlineLevel="0" collapsed="false">
      <c r="G128" s="4" t="n">
        <f aca="false">SUM(H128:J128)</f>
        <v>0</v>
      </c>
    </row>
    <row r="129" customFormat="false" ht="13.8" hidden="false" customHeight="false" outlineLevel="0" collapsed="false">
      <c r="G129" s="4" t="n">
        <f aca="false">SUM(H129:J129)</f>
        <v>0</v>
      </c>
    </row>
    <row r="130" customFormat="false" ht="13.8" hidden="false" customHeight="false" outlineLevel="0" collapsed="false">
      <c r="G130" s="4" t="n">
        <f aca="false">SUM(H130:J130)</f>
        <v>0</v>
      </c>
    </row>
    <row r="131" customFormat="false" ht="13.8" hidden="false" customHeight="false" outlineLevel="0" collapsed="false">
      <c r="G131" s="4" t="n">
        <f aca="false">SUM(H131:J131)</f>
        <v>0</v>
      </c>
    </row>
    <row r="132" customFormat="false" ht="13.8" hidden="false" customHeight="false" outlineLevel="0" collapsed="false">
      <c r="G132" s="4" t="n">
        <f aca="false">SUM(H132:J132)</f>
        <v>0</v>
      </c>
    </row>
    <row r="133" customFormat="false" ht="13.8" hidden="false" customHeight="false" outlineLevel="0" collapsed="false">
      <c r="G133" s="4" t="n">
        <f aca="false">SUM(H133:J133)</f>
        <v>0</v>
      </c>
    </row>
    <row r="134" customFormat="false" ht="13.8" hidden="false" customHeight="false" outlineLevel="0" collapsed="false">
      <c r="G134" s="4" t="n">
        <f aca="false">SUM(H134:J134)</f>
        <v>0</v>
      </c>
    </row>
    <row r="135" customFormat="false" ht="13.8" hidden="false" customHeight="false" outlineLevel="0" collapsed="false">
      <c r="G135" s="4" t="n">
        <f aca="false">SUM(H135:J135)</f>
        <v>0</v>
      </c>
    </row>
    <row r="136" customFormat="false" ht="13.8" hidden="false" customHeight="false" outlineLevel="0" collapsed="false">
      <c r="G136" s="4" t="n">
        <f aca="false">SUM(H136:J136)</f>
        <v>0</v>
      </c>
    </row>
    <row r="137" customFormat="false" ht="13.8" hidden="false" customHeight="false" outlineLevel="0" collapsed="false">
      <c r="G137" s="4" t="n">
        <f aca="false">SUM(H137:J137)</f>
        <v>0</v>
      </c>
    </row>
    <row r="138" customFormat="false" ht="13.8" hidden="false" customHeight="false" outlineLevel="0" collapsed="false">
      <c r="G138" s="4" t="n">
        <f aca="false">SUM(H138:J138)</f>
        <v>0</v>
      </c>
    </row>
    <row r="139" customFormat="false" ht="13.8" hidden="false" customHeight="false" outlineLevel="0" collapsed="false">
      <c r="G139" s="4" t="n">
        <f aca="false">SUM(H139:J139)</f>
        <v>0</v>
      </c>
    </row>
    <row r="140" customFormat="false" ht="13.8" hidden="false" customHeight="false" outlineLevel="0" collapsed="false">
      <c r="G140" s="4" t="n">
        <f aca="false">SUM(H140:J140)</f>
        <v>0</v>
      </c>
    </row>
    <row r="141" customFormat="false" ht="13.8" hidden="false" customHeight="false" outlineLevel="0" collapsed="false">
      <c r="G141" s="4" t="n">
        <f aca="false">SUM(H141:J141)</f>
        <v>0</v>
      </c>
    </row>
    <row r="142" customFormat="false" ht="13.8" hidden="false" customHeight="false" outlineLevel="0" collapsed="false">
      <c r="G142" s="4" t="n">
        <f aca="false">SUM(H142:J142)</f>
        <v>0</v>
      </c>
    </row>
    <row r="143" customFormat="false" ht="13.8" hidden="false" customHeight="false" outlineLevel="0" collapsed="false">
      <c r="G143" s="4" t="n">
        <f aca="false">SUM(H143:J143)</f>
        <v>0</v>
      </c>
    </row>
    <row r="144" customFormat="false" ht="13.8" hidden="false" customHeight="false" outlineLevel="0" collapsed="false">
      <c r="G144" s="4" t="n">
        <f aca="false">SUM(H144:J144)</f>
        <v>0</v>
      </c>
    </row>
    <row r="145" customFormat="false" ht="13.8" hidden="false" customHeight="false" outlineLevel="0" collapsed="false">
      <c r="G145" s="4" t="n">
        <f aca="false">SUM(H145:J145)</f>
        <v>0</v>
      </c>
    </row>
    <row r="146" customFormat="false" ht="13.8" hidden="false" customHeight="false" outlineLevel="0" collapsed="false">
      <c r="G146" s="4" t="n">
        <f aca="false">SUM(H146:J146)</f>
        <v>0</v>
      </c>
    </row>
    <row r="147" customFormat="false" ht="13.8" hidden="false" customHeight="false" outlineLevel="0" collapsed="false">
      <c r="G147" s="4" t="n">
        <f aca="false">SUM(H147:J147)</f>
        <v>0</v>
      </c>
    </row>
    <row r="148" customFormat="false" ht="13.8" hidden="false" customHeight="false" outlineLevel="0" collapsed="false">
      <c r="G148" s="4" t="n">
        <f aca="false">SUM(H148:J148)</f>
        <v>0</v>
      </c>
    </row>
    <row r="149" customFormat="false" ht="13.8" hidden="false" customHeight="false" outlineLevel="0" collapsed="false">
      <c r="G149" s="4" t="n">
        <f aca="false">SUM(H149:J149)</f>
        <v>0</v>
      </c>
    </row>
    <row r="150" customFormat="false" ht="13.8" hidden="false" customHeight="false" outlineLevel="0" collapsed="false">
      <c r="G150" s="4" t="n">
        <f aca="false">SUM(H150:J150)</f>
        <v>0</v>
      </c>
    </row>
    <row r="151" customFormat="false" ht="13.8" hidden="false" customHeight="false" outlineLevel="0" collapsed="false">
      <c r="G151" s="4" t="n">
        <f aca="false">SUM(H151:J151)</f>
        <v>0</v>
      </c>
    </row>
    <row r="152" customFormat="false" ht="13.8" hidden="false" customHeight="false" outlineLevel="0" collapsed="false">
      <c r="G152" s="4" t="n">
        <f aca="false">SUM(H152:J152)</f>
        <v>0</v>
      </c>
    </row>
    <row r="153" customFormat="false" ht="13.8" hidden="false" customHeight="false" outlineLevel="0" collapsed="false">
      <c r="G153" s="4" t="n">
        <f aca="false">SUM(H153:J153)</f>
        <v>0</v>
      </c>
    </row>
    <row r="154" customFormat="false" ht="13.8" hidden="false" customHeight="false" outlineLevel="0" collapsed="false">
      <c r="G154" s="4" t="n">
        <f aca="false">SUM(H154:J154)</f>
        <v>0</v>
      </c>
    </row>
    <row r="155" customFormat="false" ht="13.8" hidden="false" customHeight="false" outlineLevel="0" collapsed="false">
      <c r="G155" s="4" t="n">
        <f aca="false">SUM(H155:J155)</f>
        <v>0</v>
      </c>
    </row>
    <row r="156" customFormat="false" ht="13.8" hidden="false" customHeight="false" outlineLevel="0" collapsed="false">
      <c r="G156" s="4" t="n">
        <f aca="false">SUM(H156:J156)</f>
        <v>0</v>
      </c>
    </row>
    <row r="157" customFormat="false" ht="13.8" hidden="false" customHeight="false" outlineLevel="0" collapsed="false">
      <c r="G157" s="4" t="n">
        <f aca="false">SUM(H157:J157)</f>
        <v>0</v>
      </c>
    </row>
    <row r="158" customFormat="false" ht="13.8" hidden="false" customHeight="false" outlineLevel="0" collapsed="false">
      <c r="G158" s="4" t="n">
        <f aca="false">SUM(H158:J158)</f>
        <v>0</v>
      </c>
    </row>
    <row r="159" customFormat="false" ht="13.8" hidden="false" customHeight="false" outlineLevel="0" collapsed="false">
      <c r="G159" s="4" t="n">
        <f aca="false">SUM(H159:J159)</f>
        <v>0</v>
      </c>
    </row>
    <row r="160" customFormat="false" ht="13.8" hidden="false" customHeight="false" outlineLevel="0" collapsed="false">
      <c r="G160" s="4" t="n">
        <f aca="false">SUM(H160:J160)</f>
        <v>0</v>
      </c>
    </row>
    <row r="161" customFormat="false" ht="13.8" hidden="false" customHeight="false" outlineLevel="0" collapsed="false">
      <c r="G161" s="4" t="n">
        <f aca="false">SUM(H161:J161)</f>
        <v>0</v>
      </c>
    </row>
    <row r="162" customFormat="false" ht="13.8" hidden="false" customHeight="false" outlineLevel="0" collapsed="false">
      <c r="G162" s="4" t="n">
        <f aca="false">SUM(H162:J162)</f>
        <v>0</v>
      </c>
    </row>
    <row r="163" customFormat="false" ht="13.8" hidden="false" customHeight="false" outlineLevel="0" collapsed="false">
      <c r="G163" s="4" t="n">
        <f aca="false">SUM(H163:J163)</f>
        <v>0</v>
      </c>
    </row>
    <row r="164" customFormat="false" ht="13.8" hidden="false" customHeight="false" outlineLevel="0" collapsed="false">
      <c r="G164" s="4" t="n">
        <f aca="false">SUM(H164:J164)</f>
        <v>0</v>
      </c>
    </row>
    <row r="165" customFormat="false" ht="13.8" hidden="false" customHeight="false" outlineLevel="0" collapsed="false">
      <c r="G165" s="4" t="n">
        <f aca="false">SUM(H165:J165)</f>
        <v>0</v>
      </c>
    </row>
    <row r="166" customFormat="false" ht="13.8" hidden="false" customHeight="false" outlineLevel="0" collapsed="false">
      <c r="G166" s="4" t="n">
        <f aca="false">SUM(H166:J166)</f>
        <v>0</v>
      </c>
    </row>
    <row r="167" customFormat="false" ht="13.8" hidden="false" customHeight="false" outlineLevel="0" collapsed="false">
      <c r="G167" s="4" t="n">
        <f aca="false">SUM(H167:J167)</f>
        <v>0</v>
      </c>
    </row>
    <row r="168" customFormat="false" ht="13.8" hidden="false" customHeight="false" outlineLevel="0" collapsed="false">
      <c r="G168" s="4" t="n">
        <f aca="false">SUM(H168:J168)</f>
        <v>0</v>
      </c>
    </row>
    <row r="169" customFormat="false" ht="13.8" hidden="false" customHeight="false" outlineLevel="0" collapsed="false">
      <c r="G169" s="4" t="n">
        <f aca="false">SUM(H169:J169)</f>
        <v>0</v>
      </c>
    </row>
    <row r="170" customFormat="false" ht="13.8" hidden="false" customHeight="false" outlineLevel="0" collapsed="false">
      <c r="G170" s="4" t="n">
        <f aca="false">SUM(H170:J170)</f>
        <v>0</v>
      </c>
    </row>
    <row r="171" customFormat="false" ht="13.8" hidden="false" customHeight="false" outlineLevel="0" collapsed="false">
      <c r="G171" s="4" t="n">
        <f aca="false">SUM(H171:J171)</f>
        <v>0</v>
      </c>
    </row>
    <row r="172" customFormat="false" ht="13.8" hidden="false" customHeight="false" outlineLevel="0" collapsed="false">
      <c r="G172" s="4" t="n">
        <f aca="false">SUM(H172:J172)</f>
        <v>0</v>
      </c>
    </row>
    <row r="173" customFormat="false" ht="13.8" hidden="false" customHeight="false" outlineLevel="0" collapsed="false">
      <c r="G173" s="4" t="n">
        <f aca="false">SUM(H173:J173)</f>
        <v>0</v>
      </c>
    </row>
    <row r="174" customFormat="false" ht="13.8" hidden="false" customHeight="false" outlineLevel="0" collapsed="false">
      <c r="G174" s="4" t="n">
        <f aca="false">SUM(H174:J174)</f>
        <v>0</v>
      </c>
    </row>
    <row r="175" customFormat="false" ht="13.8" hidden="false" customHeight="false" outlineLevel="0" collapsed="false">
      <c r="G175" s="4" t="n">
        <f aca="false">SUM(H175:J175)</f>
        <v>0</v>
      </c>
    </row>
    <row r="176" customFormat="false" ht="13.8" hidden="false" customHeight="false" outlineLevel="0" collapsed="false">
      <c r="G176" s="4" t="n">
        <f aca="false">SUM(H176:J176)</f>
        <v>0</v>
      </c>
    </row>
    <row r="177" customFormat="false" ht="13.8" hidden="false" customHeight="false" outlineLevel="0" collapsed="false">
      <c r="G177" s="4" t="n">
        <f aca="false">SUM(H177:J177)</f>
        <v>0</v>
      </c>
    </row>
    <row r="178" customFormat="false" ht="13.8" hidden="false" customHeight="false" outlineLevel="0" collapsed="false">
      <c r="G178" s="4" t="n">
        <f aca="false">SUM(H178:J178)</f>
        <v>0</v>
      </c>
    </row>
    <row r="179" customFormat="false" ht="13.8" hidden="false" customHeight="false" outlineLevel="0" collapsed="false">
      <c r="G179" s="4" t="n">
        <f aca="false">SUM(H179:J179)</f>
        <v>0</v>
      </c>
    </row>
    <row r="180" customFormat="false" ht="13.8" hidden="false" customHeight="false" outlineLevel="0" collapsed="false">
      <c r="G180" s="4" t="n">
        <f aca="false">SUM(H180:J180)</f>
        <v>0</v>
      </c>
    </row>
    <row r="181" customFormat="false" ht="13.8" hidden="false" customHeight="false" outlineLevel="0" collapsed="false">
      <c r="G181" s="4" t="n">
        <f aca="false">SUM(H181:J181)</f>
        <v>0</v>
      </c>
    </row>
    <row r="182" customFormat="false" ht="13.8" hidden="false" customHeight="false" outlineLevel="0" collapsed="false">
      <c r="G182" s="4" t="n">
        <f aca="false">SUM(H182:J182)</f>
        <v>0</v>
      </c>
    </row>
    <row r="183" customFormat="false" ht="13.8" hidden="false" customHeight="false" outlineLevel="0" collapsed="false">
      <c r="G183" s="4" t="n">
        <f aca="false">SUM(H183:J183)</f>
        <v>0</v>
      </c>
    </row>
    <row r="184" customFormat="false" ht="13.8" hidden="false" customHeight="false" outlineLevel="0" collapsed="false">
      <c r="G184" s="4" t="n">
        <f aca="false">SUM(H184:J184)</f>
        <v>0</v>
      </c>
    </row>
    <row r="185" customFormat="false" ht="13.8" hidden="false" customHeight="false" outlineLevel="0" collapsed="false">
      <c r="G185" s="4" t="n">
        <f aca="false">SUM(H185:J185)</f>
        <v>0</v>
      </c>
    </row>
    <row r="186" customFormat="false" ht="13.8" hidden="false" customHeight="false" outlineLevel="0" collapsed="false">
      <c r="G186" s="4" t="n">
        <f aca="false">SUM(H186:J186)</f>
        <v>0</v>
      </c>
    </row>
    <row r="187" customFormat="false" ht="13.8" hidden="false" customHeight="false" outlineLevel="0" collapsed="false">
      <c r="G187" s="4" t="n">
        <f aca="false">SUM(H187:J187)</f>
        <v>0</v>
      </c>
    </row>
    <row r="188" customFormat="false" ht="13.8" hidden="false" customHeight="false" outlineLevel="0" collapsed="false">
      <c r="G188" s="4" t="n">
        <f aca="false">SUM(H188:J188)</f>
        <v>0</v>
      </c>
    </row>
    <row r="189" customFormat="false" ht="13.8" hidden="false" customHeight="false" outlineLevel="0" collapsed="false">
      <c r="G189" s="4" t="n">
        <f aca="false">SUM(H189:J189)</f>
        <v>0</v>
      </c>
    </row>
    <row r="190" customFormat="false" ht="13.8" hidden="false" customHeight="false" outlineLevel="0" collapsed="false">
      <c r="G190" s="4" t="n">
        <f aca="false">SUM(H190:J190)</f>
        <v>0</v>
      </c>
    </row>
    <row r="191" customFormat="false" ht="13.8" hidden="false" customHeight="false" outlineLevel="0" collapsed="false">
      <c r="G191" s="4" t="n">
        <f aca="false">SUM(H191:J191)</f>
        <v>0</v>
      </c>
    </row>
    <row r="192" customFormat="false" ht="13.8" hidden="false" customHeight="false" outlineLevel="0" collapsed="false">
      <c r="G192" s="4" t="n">
        <f aca="false">SUM(H192:J192)</f>
        <v>0</v>
      </c>
    </row>
    <row r="193" customFormat="false" ht="13.8" hidden="false" customHeight="false" outlineLevel="0" collapsed="false">
      <c r="G193" s="4" t="n">
        <f aca="false">SUM(H193:J193)</f>
        <v>0</v>
      </c>
    </row>
    <row r="194" customFormat="false" ht="13.8" hidden="false" customHeight="false" outlineLevel="0" collapsed="false">
      <c r="G194" s="4" t="n">
        <f aca="false">SUM(H194:J194)</f>
        <v>0</v>
      </c>
    </row>
    <row r="195" customFormat="false" ht="13.8" hidden="false" customHeight="false" outlineLevel="0" collapsed="false">
      <c r="G195" s="4" t="n">
        <f aca="false">SUM(H195:J195)</f>
        <v>0</v>
      </c>
    </row>
    <row r="196" customFormat="false" ht="13.8" hidden="false" customHeight="false" outlineLevel="0" collapsed="false">
      <c r="G196" s="4" t="n">
        <f aca="false">SUM(H196:J196)</f>
        <v>0</v>
      </c>
    </row>
    <row r="197" customFormat="false" ht="13.8" hidden="false" customHeight="false" outlineLevel="0" collapsed="false">
      <c r="G197" s="4" t="n">
        <f aca="false">SUM(H197:J197)</f>
        <v>0</v>
      </c>
    </row>
    <row r="198" customFormat="false" ht="13.8" hidden="false" customHeight="false" outlineLevel="0" collapsed="false">
      <c r="G198" s="4" t="n">
        <f aca="false">SUM(H198:J198)</f>
        <v>0</v>
      </c>
    </row>
    <row r="199" customFormat="false" ht="13.8" hidden="false" customHeight="false" outlineLevel="0" collapsed="false">
      <c r="G199" s="4" t="n">
        <f aca="false">SUM(H199:J199)</f>
        <v>0</v>
      </c>
    </row>
    <row r="200" customFormat="false" ht="13.8" hidden="false" customHeight="false" outlineLevel="0" collapsed="false">
      <c r="G200" s="4" t="n">
        <f aca="false">SUM(H200:J200)</f>
        <v>0</v>
      </c>
    </row>
    <row r="201" customFormat="false" ht="13.8" hidden="false" customHeight="false" outlineLevel="0" collapsed="false">
      <c r="G201" s="4" t="n">
        <f aca="false">SUM(H201:J201)</f>
        <v>0</v>
      </c>
    </row>
    <row r="202" customFormat="false" ht="13.8" hidden="false" customHeight="false" outlineLevel="0" collapsed="false">
      <c r="G202" s="4" t="n">
        <f aca="false">SUM(H202:J202)</f>
        <v>0</v>
      </c>
    </row>
    <row r="203" customFormat="false" ht="13.8" hidden="false" customHeight="false" outlineLevel="0" collapsed="false">
      <c r="G203" s="4" t="n">
        <f aca="false">SUM(H203:J203)</f>
        <v>0</v>
      </c>
    </row>
    <row r="204" customFormat="false" ht="13.8" hidden="false" customHeight="false" outlineLevel="0" collapsed="false">
      <c r="G204" s="4" t="n">
        <f aca="false">SUM(H204:J204)</f>
        <v>0</v>
      </c>
    </row>
    <row r="205" customFormat="false" ht="13.8" hidden="false" customHeight="false" outlineLevel="0" collapsed="false">
      <c r="G205" s="4" t="n">
        <f aca="false">SUM(H205:J205)</f>
        <v>0</v>
      </c>
    </row>
    <row r="206" customFormat="false" ht="13.8" hidden="false" customHeight="false" outlineLevel="0" collapsed="false">
      <c r="G206" s="4" t="n">
        <f aca="false">SUM(H206:J206)</f>
        <v>0</v>
      </c>
    </row>
    <row r="207" customFormat="false" ht="13.8" hidden="false" customHeight="false" outlineLevel="0" collapsed="false">
      <c r="G207" s="4" t="n">
        <f aca="false">SUM(H207:J207)</f>
        <v>0</v>
      </c>
    </row>
    <row r="208" customFormat="false" ht="13.8" hidden="false" customHeight="false" outlineLevel="0" collapsed="false">
      <c r="G208" s="4" t="n">
        <f aca="false">SUM(H208:J208)</f>
        <v>0</v>
      </c>
    </row>
    <row r="209" customFormat="false" ht="13.8" hidden="false" customHeight="false" outlineLevel="0" collapsed="false">
      <c r="G209" s="4" t="n">
        <f aca="false">SUM(H209:J209)</f>
        <v>0</v>
      </c>
    </row>
    <row r="210" customFormat="false" ht="13.8" hidden="false" customHeight="false" outlineLevel="0" collapsed="false">
      <c r="G210" s="4" t="n">
        <f aca="false">SUM(H210:J210)</f>
        <v>0</v>
      </c>
    </row>
    <row r="211" customFormat="false" ht="13.8" hidden="false" customHeight="false" outlineLevel="0" collapsed="false">
      <c r="G211" s="4" t="n">
        <f aca="false">SUM(H211:J211)</f>
        <v>0</v>
      </c>
    </row>
    <row r="212" customFormat="false" ht="13.8" hidden="false" customHeight="false" outlineLevel="0" collapsed="false">
      <c r="G212" s="4" t="n">
        <f aca="false">SUM(H212:J212)</f>
        <v>0</v>
      </c>
    </row>
    <row r="213" customFormat="false" ht="13.8" hidden="false" customHeight="false" outlineLevel="0" collapsed="false">
      <c r="G213" s="4" t="n">
        <f aca="false">SUM(H213:J213)</f>
        <v>0</v>
      </c>
    </row>
    <row r="214" customFormat="false" ht="13.8" hidden="false" customHeight="false" outlineLevel="0" collapsed="false">
      <c r="G214" s="4" t="n">
        <f aca="false">SUM(H214:J214)</f>
        <v>0</v>
      </c>
    </row>
    <row r="215" customFormat="false" ht="13.8" hidden="false" customHeight="false" outlineLevel="0" collapsed="false">
      <c r="G215" s="4" t="n">
        <f aca="false">SUM(H215:J215)</f>
        <v>0</v>
      </c>
    </row>
    <row r="216" customFormat="false" ht="13.8" hidden="false" customHeight="false" outlineLevel="0" collapsed="false">
      <c r="G216" s="4" t="n">
        <f aca="false">SUM(H216:J216)</f>
        <v>0</v>
      </c>
    </row>
    <row r="217" customFormat="false" ht="13.8" hidden="false" customHeight="false" outlineLevel="0" collapsed="false">
      <c r="G217" s="4" t="n">
        <f aca="false">SUM(H217:J217)</f>
        <v>0</v>
      </c>
    </row>
    <row r="218" customFormat="false" ht="13.8" hidden="false" customHeight="false" outlineLevel="0" collapsed="false">
      <c r="G218" s="4" t="n">
        <f aca="false">SUM(H218:J218)</f>
        <v>0</v>
      </c>
    </row>
    <row r="219" customFormat="false" ht="13.8" hidden="false" customHeight="false" outlineLevel="0" collapsed="false">
      <c r="G219" s="4" t="n">
        <f aca="false">SUM(H219:J219)</f>
        <v>0</v>
      </c>
    </row>
    <row r="220" customFormat="false" ht="13.8" hidden="false" customHeight="false" outlineLevel="0" collapsed="false">
      <c r="G220" s="4" t="n">
        <f aca="false">SUM(H220:J220)</f>
        <v>0</v>
      </c>
    </row>
  </sheetData>
  <hyperlinks>
    <hyperlink ref="L37" r:id="rId1" display="https://www.lcsc.com/datasheet/C278365.pdf"/>
    <hyperlink ref="L49" r:id="rId2" display="https://www.everlighteurope.com/custom/files/datasheets/DPC-0000031.pdf"/>
    <hyperlink ref="L66" r:id="rId3" display="https://www.lcsc.com/datasheet/C4190.pdf"/>
    <hyperlink ref="L84" r:id="rId4" display="https://www.lcsc.com/datasheet/C668205.pdf"/>
    <hyperlink ref="L98" r:id="rId5" display="https://www.lcsc.com/datasheet/C20526.pdf"/>
    <hyperlink ref="L99" r:id="rId6" display="https://www.lcsc.com/datasheet/C2143.pdf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.7578125" defaultRowHeight="15" zeroHeight="false" outlineLevelRow="0" outlineLevelCol="0"/>
  <cols>
    <col collapsed="false" customWidth="true" hidden="false" outlineLevel="0" max="1" min="1" style="1" width="36.32"/>
    <col collapsed="false" customWidth="true" hidden="false" outlineLevel="0" max="2" min="2" style="1" width="130.54"/>
    <col collapsed="false" customWidth="true" hidden="false" outlineLevel="0" max="3" min="3" style="1" width="56.76"/>
    <col collapsed="false" customWidth="true" hidden="false" outlineLevel="0" max="4" min="4" style="1" width="96.49"/>
    <col collapsed="false" customWidth="true" hidden="false" outlineLevel="0" max="5" min="5" style="1" width="85.15"/>
  </cols>
  <sheetData>
    <row r="1" customFormat="false" ht="30" hidden="false" customHeight="true" outlineLevel="0" collapsed="false">
      <c r="A1" s="10" t="s">
        <v>605</v>
      </c>
      <c r="B1" s="10"/>
    </row>
    <row r="2" customFormat="false" ht="15" hidden="false" customHeight="false" outlineLevel="0" collapsed="false">
      <c r="A2" s="1" t="s">
        <v>606</v>
      </c>
      <c r="B2" s="1" t="s">
        <v>607</v>
      </c>
    </row>
    <row r="3" customFormat="false" ht="15" hidden="false" customHeight="false" outlineLevel="0" collapsed="false">
      <c r="A3" s="1" t="s">
        <v>608</v>
      </c>
      <c r="B3" s="1" t="s">
        <v>609</v>
      </c>
    </row>
    <row r="4" customFormat="false" ht="15" hidden="false" customHeight="false" outlineLevel="0" collapsed="false">
      <c r="A4" s="1" t="s">
        <v>610</v>
      </c>
      <c r="B4" s="1" t="s">
        <v>611</v>
      </c>
    </row>
    <row r="5" customFormat="false" ht="15" hidden="false" customHeight="false" outlineLevel="0" collapsed="false">
      <c r="A5" s="1" t="s">
        <v>612</v>
      </c>
      <c r="B5" s="1" t="s">
        <v>613</v>
      </c>
    </row>
    <row r="6" customFormat="false" ht="15" hidden="false" customHeight="false" outlineLevel="0" collapsed="false">
      <c r="A6" s="1" t="s">
        <v>614</v>
      </c>
      <c r="B6" s="1" t="s">
        <v>615</v>
      </c>
    </row>
    <row r="7" customFormat="false" ht="15" hidden="false" customHeight="false" outlineLevel="0" collapsed="false">
      <c r="A7" s="1" t="s">
        <v>616</v>
      </c>
      <c r="B7" s="1" t="s">
        <v>617</v>
      </c>
    </row>
    <row r="8" customFormat="false" ht="15" hidden="false" customHeight="false" outlineLevel="0" collapsed="false">
      <c r="A8" s="1" t="s">
        <v>618</v>
      </c>
      <c r="B8" s="1" t="s">
        <v>619</v>
      </c>
    </row>
    <row r="9" customFormat="false" ht="15" hidden="false" customHeight="false" outlineLevel="0" collapsed="false">
      <c r="A9" s="1" t="s">
        <v>620</v>
      </c>
      <c r="B9" s="1" t="n">
        <v>97</v>
      </c>
    </row>
    <row r="10" customFormat="false" ht="15" hidden="false" customHeight="false" outlineLevel="0" collapsed="false">
      <c r="A10" s="1" t="s">
        <v>621</v>
      </c>
      <c r="B10" s="1" t="n">
        <v>8</v>
      </c>
    </row>
    <row r="11" customFormat="false" ht="15" hidden="false" customHeight="false" outlineLevel="0" collapsed="false">
      <c r="A11" s="1" t="s">
        <v>622</v>
      </c>
      <c r="B11" s="1" t="n">
        <v>2232</v>
      </c>
    </row>
    <row r="12" customFormat="false" ht="15" hidden="false" customHeight="false" outlineLevel="0" collapsed="false">
      <c r="A12" s="1" t="s">
        <v>623</v>
      </c>
      <c r="B12" s="1" t="n">
        <v>74</v>
      </c>
    </row>
    <row r="13" customFormat="false" ht="15" hidden="false" customHeight="false" outlineLevel="0" collapsed="false">
      <c r="A13" s="1" t="s">
        <v>624</v>
      </c>
      <c r="B13" s="1" t="n">
        <v>64</v>
      </c>
    </row>
    <row r="14" customFormat="false" ht="15" hidden="false" customHeight="false" outlineLevel="0" collapsed="false">
      <c r="A14" s="1" t="s">
        <v>625</v>
      </c>
      <c r="B14" s="1" t="n">
        <v>67</v>
      </c>
    </row>
    <row r="15" customFormat="false" ht="15" hidden="false" customHeight="false" outlineLevel="0" collapsed="false">
      <c r="A15" s="1" t="s">
        <v>626</v>
      </c>
      <c r="B15" s="1" t="n">
        <v>55</v>
      </c>
    </row>
    <row r="17" customFormat="false" ht="25" hidden="false" customHeight="true" outlineLevel="0" collapsed="false">
      <c r="A17" s="11" t="s">
        <v>3</v>
      </c>
      <c r="B17" s="11" t="s">
        <v>627</v>
      </c>
      <c r="C17" s="11" t="s">
        <v>628</v>
      </c>
      <c r="D17" s="11"/>
      <c r="E17" s="11"/>
    </row>
    <row r="18" customFormat="false" ht="15" hidden="false" customHeight="false" outlineLevel="0" collapsed="false">
      <c r="A18" s="1" t="s">
        <v>30</v>
      </c>
      <c r="B18" s="1" t="s">
        <v>629</v>
      </c>
      <c r="C18" s="1" t="s">
        <v>630</v>
      </c>
    </row>
    <row r="19" customFormat="false" ht="15" hidden="false" customHeight="false" outlineLevel="0" collapsed="false">
      <c r="A19" s="1" t="s">
        <v>152</v>
      </c>
      <c r="B19" s="1" t="s">
        <v>631</v>
      </c>
      <c r="C19" s="1" t="s">
        <v>632</v>
      </c>
    </row>
    <row r="20" customFormat="false" ht="15" hidden="false" customHeight="false" outlineLevel="0" collapsed="false">
      <c r="A20" s="1" t="s">
        <v>203</v>
      </c>
      <c r="B20" s="1" t="s">
        <v>629</v>
      </c>
      <c r="C20" s="1" t="s">
        <v>633</v>
      </c>
    </row>
    <row r="21" customFormat="false" ht="15" hidden="false" customHeight="false" outlineLevel="0" collapsed="false">
      <c r="A21" s="1" t="s">
        <v>311</v>
      </c>
      <c r="B21" s="1" t="s">
        <v>631</v>
      </c>
      <c r="C21" s="1" t="s">
        <v>634</v>
      </c>
    </row>
    <row r="22" customFormat="false" ht="15" hidden="false" customHeight="false" outlineLevel="0" collapsed="false">
      <c r="A22" s="1" t="s">
        <v>635</v>
      </c>
      <c r="B22" s="1" t="s">
        <v>636</v>
      </c>
      <c r="C22" s="1" t="s">
        <v>637</v>
      </c>
    </row>
    <row r="23" customFormat="false" ht="15" hidden="false" customHeight="false" outlineLevel="0" collapsed="false">
      <c r="A23" s="1" t="s">
        <v>175</v>
      </c>
      <c r="B23" s="1" t="s">
        <v>629</v>
      </c>
      <c r="C23" s="1" t="s">
        <v>638</v>
      </c>
    </row>
    <row r="24" customFormat="false" ht="15" hidden="false" customHeight="false" outlineLevel="0" collapsed="false">
      <c r="A24" s="1" t="s">
        <v>114</v>
      </c>
      <c r="B24" s="1" t="s">
        <v>629</v>
      </c>
      <c r="C24" s="1" t="s">
        <v>639</v>
      </c>
    </row>
    <row r="25" customFormat="false" ht="15" hidden="false" customHeight="false" outlineLevel="0" collapsed="false">
      <c r="A25" s="1" t="s">
        <v>15</v>
      </c>
      <c r="B25" s="1" t="s">
        <v>640</v>
      </c>
      <c r="C25" s="1" t="s">
        <v>641</v>
      </c>
    </row>
    <row r="26" customFormat="false" ht="15" hidden="false" customHeight="false" outlineLevel="0" collapsed="false">
      <c r="A26" s="1" t="s">
        <v>15</v>
      </c>
      <c r="B26" s="1" t="s">
        <v>642</v>
      </c>
      <c r="C26" s="1" t="s">
        <v>643</v>
      </c>
    </row>
    <row r="27" customFormat="false" ht="15" hidden="false" customHeight="false" outlineLevel="0" collapsed="false">
      <c r="A27" s="1" t="s">
        <v>15</v>
      </c>
      <c r="B27" s="1" t="s">
        <v>644</v>
      </c>
      <c r="C27" s="1" t="s">
        <v>645</v>
      </c>
    </row>
    <row r="28" customFormat="false" ht="15" hidden="false" customHeight="false" outlineLevel="0" collapsed="false">
      <c r="A28" s="1" t="s">
        <v>15</v>
      </c>
      <c r="B28" s="1" t="s">
        <v>631</v>
      </c>
      <c r="C28" s="1" t="s">
        <v>646</v>
      </c>
    </row>
    <row r="29" customFormat="false" ht="15" hidden="false" customHeight="false" outlineLevel="0" collapsed="false">
      <c r="A29" s="1" t="s">
        <v>226</v>
      </c>
      <c r="B29" s="1" t="s">
        <v>631</v>
      </c>
      <c r="C29" s="1" t="s">
        <v>647</v>
      </c>
    </row>
    <row r="30" customFormat="false" ht="15" hidden="false" customHeight="false" outlineLevel="0" collapsed="false">
      <c r="A30" s="1" t="s">
        <v>455</v>
      </c>
      <c r="B30" s="1" t="s">
        <v>631</v>
      </c>
      <c r="C30" s="1" t="s">
        <v>648</v>
      </c>
    </row>
    <row r="31" customFormat="false" ht="15" hidden="false" customHeight="false" outlineLevel="0" collapsed="false">
      <c r="A31" s="1" t="s">
        <v>429</v>
      </c>
      <c r="B31" s="1" t="s">
        <v>629</v>
      </c>
      <c r="C31" s="1" t="s">
        <v>649</v>
      </c>
    </row>
    <row r="32" customFormat="false" ht="15" hidden="false" customHeight="false" outlineLevel="0" collapsed="false">
      <c r="A32" s="1" t="s">
        <v>46</v>
      </c>
      <c r="B32" s="1" t="s">
        <v>631</v>
      </c>
      <c r="C32" s="1" t="s">
        <v>650</v>
      </c>
    </row>
    <row r="33" customFormat="false" ht="15" hidden="false" customHeight="false" outlineLevel="0" collapsed="false">
      <c r="A33" s="1" t="s">
        <v>183</v>
      </c>
      <c r="B33" s="1" t="s">
        <v>631</v>
      </c>
      <c r="C33" s="1" t="s">
        <v>651</v>
      </c>
    </row>
    <row r="34" customFormat="false" ht="15" hidden="false" customHeight="false" outlineLevel="0" collapsed="false">
      <c r="A34" s="1" t="s">
        <v>467</v>
      </c>
      <c r="B34" s="1" t="s">
        <v>629</v>
      </c>
      <c r="C34" s="1" t="s">
        <v>652</v>
      </c>
    </row>
    <row r="35" customFormat="false" ht="15" hidden="false" customHeight="false" outlineLevel="0" collapsed="false">
      <c r="A35" s="1" t="s">
        <v>452</v>
      </c>
      <c r="B35" s="1" t="s">
        <v>631</v>
      </c>
      <c r="C35" s="1" t="s">
        <v>653</v>
      </c>
    </row>
    <row r="36" customFormat="false" ht="15" hidden="false" customHeight="false" outlineLevel="0" collapsed="false">
      <c r="A36" s="1" t="s">
        <v>87</v>
      </c>
      <c r="B36" s="1" t="s">
        <v>629</v>
      </c>
      <c r="C36" s="1" t="s">
        <v>654</v>
      </c>
    </row>
    <row r="37" customFormat="false" ht="15" hidden="false" customHeight="false" outlineLevel="0" collapsed="false">
      <c r="A37" s="1" t="s">
        <v>38</v>
      </c>
      <c r="B37" s="1" t="s">
        <v>655</v>
      </c>
      <c r="C37" s="1" t="s">
        <v>656</v>
      </c>
    </row>
    <row r="38" customFormat="false" ht="15" hidden="false" customHeight="false" outlineLevel="0" collapsed="false">
      <c r="A38" s="1" t="s">
        <v>129</v>
      </c>
      <c r="B38" s="1" t="s">
        <v>629</v>
      </c>
      <c r="C38" s="1" t="s">
        <v>657</v>
      </c>
    </row>
    <row r="39" customFormat="false" ht="15" hidden="false" customHeight="false" outlineLevel="0" collapsed="false">
      <c r="A39" s="1" t="s">
        <v>282</v>
      </c>
      <c r="B39" s="1" t="s">
        <v>640</v>
      </c>
      <c r="C39" s="1" t="s">
        <v>658</v>
      </c>
    </row>
    <row r="40" customFormat="false" ht="15" hidden="false" customHeight="false" outlineLevel="0" collapsed="false">
      <c r="A40" s="1" t="s">
        <v>65</v>
      </c>
      <c r="B40" s="1" t="s">
        <v>640</v>
      </c>
      <c r="C40" s="1" t="s">
        <v>659</v>
      </c>
    </row>
    <row r="41" customFormat="false" ht="15" hidden="false" customHeight="false" outlineLevel="0" collapsed="false">
      <c r="A41" s="1" t="s">
        <v>65</v>
      </c>
      <c r="B41" s="1" t="s">
        <v>631</v>
      </c>
      <c r="C41" s="1" t="s">
        <v>660</v>
      </c>
    </row>
    <row r="42" customFormat="false" ht="15" hidden="false" customHeight="false" outlineLevel="0" collapsed="false">
      <c r="A42" s="1" t="s">
        <v>217</v>
      </c>
      <c r="B42" s="1" t="s">
        <v>631</v>
      </c>
      <c r="C42" s="1" t="s">
        <v>661</v>
      </c>
    </row>
    <row r="44" customFormat="false" ht="25" hidden="false" customHeight="true" outlineLevel="0" collapsed="false">
      <c r="A44" s="11" t="s">
        <v>3</v>
      </c>
      <c r="B44" s="11" t="s">
        <v>1</v>
      </c>
      <c r="C44" s="11" t="s">
        <v>2</v>
      </c>
      <c r="D44" s="11" t="s">
        <v>662</v>
      </c>
      <c r="E44" s="11" t="s">
        <v>663</v>
      </c>
    </row>
    <row r="45" customFormat="false" ht="15" hidden="false" customHeight="false" outlineLevel="0" collapsed="false">
      <c r="A45" s="1" t="s">
        <v>23</v>
      </c>
      <c r="B45" s="1" t="s">
        <v>21</v>
      </c>
      <c r="C45" s="1" t="s">
        <v>22</v>
      </c>
      <c r="D45" s="1" t="s">
        <v>664</v>
      </c>
      <c r="E45" s="1" t="s">
        <v>665</v>
      </c>
    </row>
    <row r="46" customFormat="false" ht="15" hidden="false" customHeight="false" outlineLevel="0" collapsed="false">
      <c r="A46" s="1" t="s">
        <v>30</v>
      </c>
      <c r="B46" s="1" t="s">
        <v>28</v>
      </c>
      <c r="C46" s="1" t="s">
        <v>29</v>
      </c>
      <c r="D46" s="1" t="s">
        <v>666</v>
      </c>
      <c r="E46" s="1" t="s">
        <v>667</v>
      </c>
    </row>
    <row r="47" customFormat="false" ht="15" hidden="false" customHeight="false" outlineLevel="0" collapsed="false">
      <c r="A47" s="1" t="s">
        <v>38</v>
      </c>
      <c r="B47" s="1" t="s">
        <v>36</v>
      </c>
      <c r="C47" s="1" t="s">
        <v>37</v>
      </c>
      <c r="D47" s="1" t="s">
        <v>666</v>
      </c>
      <c r="E47" s="1" t="s">
        <v>668</v>
      </c>
    </row>
    <row r="48" customFormat="false" ht="15" hidden="false" customHeight="false" outlineLevel="0" collapsed="false">
      <c r="A48" s="1" t="s">
        <v>54</v>
      </c>
      <c r="B48" s="1" t="s">
        <v>52</v>
      </c>
      <c r="C48" s="1" t="s">
        <v>53</v>
      </c>
      <c r="D48" s="1" t="s">
        <v>669</v>
      </c>
      <c r="E48" s="1" t="s">
        <v>670</v>
      </c>
    </row>
    <row r="49" customFormat="false" ht="15" hidden="false" customHeight="false" outlineLevel="0" collapsed="false">
      <c r="A49" s="1" t="s">
        <v>60</v>
      </c>
      <c r="B49" s="1" t="s">
        <v>52</v>
      </c>
      <c r="C49" s="1" t="s">
        <v>59</v>
      </c>
      <c r="D49" s="1" t="s">
        <v>669</v>
      </c>
      <c r="E49" s="1" t="s">
        <v>671</v>
      </c>
    </row>
    <row r="50" customFormat="false" ht="15" hidden="false" customHeight="false" outlineLevel="0" collapsed="false">
      <c r="A50" s="1" t="s">
        <v>82</v>
      </c>
      <c r="B50" s="1" t="s">
        <v>69</v>
      </c>
      <c r="C50" s="1" t="s">
        <v>81</v>
      </c>
      <c r="D50" s="1" t="s">
        <v>669</v>
      </c>
      <c r="E50" s="1" t="s">
        <v>672</v>
      </c>
    </row>
    <row r="51" customFormat="false" ht="15" hidden="false" customHeight="false" outlineLevel="0" collapsed="false">
      <c r="A51" s="1" t="s">
        <v>92</v>
      </c>
      <c r="B51" s="1" t="s">
        <v>90</v>
      </c>
      <c r="C51" s="1" t="s">
        <v>91</v>
      </c>
      <c r="D51" s="1" t="s">
        <v>669</v>
      </c>
      <c r="E51" s="1" t="s">
        <v>673</v>
      </c>
    </row>
    <row r="52" customFormat="false" ht="15" hidden="false" customHeight="false" outlineLevel="0" collapsed="false">
      <c r="A52" s="1" t="s">
        <v>98</v>
      </c>
      <c r="B52" s="1" t="s">
        <v>96</v>
      </c>
      <c r="C52" s="1" t="s">
        <v>97</v>
      </c>
      <c r="D52" s="1" t="s">
        <v>674</v>
      </c>
      <c r="E52" s="1" t="s">
        <v>675</v>
      </c>
    </row>
    <row r="53" customFormat="false" ht="15" hidden="false" customHeight="false" outlineLevel="0" collapsed="false">
      <c r="A53" s="1" t="s">
        <v>103</v>
      </c>
      <c r="B53" s="1" t="s">
        <v>101</v>
      </c>
      <c r="C53" s="1" t="s">
        <v>102</v>
      </c>
      <c r="D53" s="1" t="s">
        <v>669</v>
      </c>
      <c r="E53" s="1" t="s">
        <v>676</v>
      </c>
    </row>
    <row r="54" customFormat="false" ht="15" hidden="false" customHeight="false" outlineLevel="0" collapsed="false">
      <c r="A54" s="1" t="s">
        <v>109</v>
      </c>
      <c r="B54" s="1" t="s">
        <v>107</v>
      </c>
      <c r="C54" s="1" t="s">
        <v>108</v>
      </c>
      <c r="D54" s="1" t="s">
        <v>674</v>
      </c>
      <c r="E54" s="1" t="s">
        <v>677</v>
      </c>
    </row>
    <row r="55" customFormat="false" ht="15" hidden="false" customHeight="false" outlineLevel="0" collapsed="false">
      <c r="A55" s="1" t="s">
        <v>119</v>
      </c>
      <c r="B55" s="1" t="s">
        <v>112</v>
      </c>
      <c r="C55" s="1" t="s">
        <v>118</v>
      </c>
      <c r="D55" s="1" t="s">
        <v>669</v>
      </c>
      <c r="E55" s="1" t="s">
        <v>678</v>
      </c>
    </row>
    <row r="56" customFormat="false" ht="15" hidden="false" customHeight="false" outlineLevel="0" collapsed="false">
      <c r="A56" s="1" t="s">
        <v>129</v>
      </c>
      <c r="B56" s="1" t="s">
        <v>127</v>
      </c>
      <c r="C56" s="1" t="s">
        <v>128</v>
      </c>
      <c r="D56" s="1" t="s">
        <v>679</v>
      </c>
      <c r="E56" s="1" t="s">
        <v>680</v>
      </c>
    </row>
    <row r="57" customFormat="false" ht="15" hidden="false" customHeight="false" outlineLevel="0" collapsed="false">
      <c r="A57" s="1" t="s">
        <v>152</v>
      </c>
      <c r="B57" s="1" t="s">
        <v>150</v>
      </c>
      <c r="C57" s="1" t="s">
        <v>151</v>
      </c>
      <c r="D57" s="1" t="s">
        <v>679</v>
      </c>
      <c r="E57" s="1" t="s">
        <v>681</v>
      </c>
    </row>
    <row r="58" customFormat="false" ht="15" hidden="false" customHeight="false" outlineLevel="0" collapsed="false">
      <c r="A58" s="1" t="s">
        <v>175</v>
      </c>
      <c r="B58" s="1" t="s">
        <v>173</v>
      </c>
      <c r="C58" s="1" t="s">
        <v>174</v>
      </c>
      <c r="D58" s="1" t="s">
        <v>679</v>
      </c>
      <c r="E58" s="1" t="s">
        <v>682</v>
      </c>
    </row>
    <row r="59" customFormat="false" ht="15" hidden="false" customHeight="false" outlineLevel="0" collapsed="false">
      <c r="A59" s="1" t="s">
        <v>189</v>
      </c>
      <c r="B59" s="1" t="s">
        <v>187</v>
      </c>
      <c r="C59" s="1" t="s">
        <v>188</v>
      </c>
      <c r="D59" s="1" t="s">
        <v>666</v>
      </c>
      <c r="E59" s="1" t="s">
        <v>683</v>
      </c>
    </row>
    <row r="60" customFormat="false" ht="15" hidden="false" customHeight="false" outlineLevel="0" collapsed="false">
      <c r="A60" s="1" t="s">
        <v>196</v>
      </c>
      <c r="B60" s="1" t="s">
        <v>194</v>
      </c>
      <c r="C60" s="1" t="s">
        <v>195</v>
      </c>
      <c r="D60" s="1" t="s">
        <v>664</v>
      </c>
      <c r="E60" s="1" t="s">
        <v>684</v>
      </c>
    </row>
    <row r="61" customFormat="false" ht="15" hidden="false" customHeight="false" outlineLevel="0" collapsed="false">
      <c r="A61" s="1" t="s">
        <v>203</v>
      </c>
      <c r="B61" s="1" t="s">
        <v>201</v>
      </c>
      <c r="C61" s="1" t="s">
        <v>202</v>
      </c>
      <c r="D61" s="1" t="s">
        <v>669</v>
      </c>
      <c r="E61" s="1" t="s">
        <v>685</v>
      </c>
    </row>
    <row r="62" customFormat="false" ht="15" hidden="false" customHeight="false" outlineLevel="0" collapsed="false">
      <c r="A62" s="1" t="s">
        <v>226</v>
      </c>
      <c r="B62" s="1" t="s">
        <v>224</v>
      </c>
      <c r="C62" s="1" t="s">
        <v>225</v>
      </c>
      <c r="D62" s="1" t="s">
        <v>666</v>
      </c>
      <c r="E62" s="1" t="s">
        <v>686</v>
      </c>
    </row>
    <row r="63" customFormat="false" ht="15" hidden="false" customHeight="false" outlineLevel="0" collapsed="false">
      <c r="A63" s="1" t="s">
        <v>233</v>
      </c>
      <c r="B63" s="1" t="s">
        <v>232</v>
      </c>
      <c r="C63" s="1" t="s">
        <v>70</v>
      </c>
      <c r="D63" s="1" t="s">
        <v>669</v>
      </c>
      <c r="E63" s="1" t="s">
        <v>687</v>
      </c>
    </row>
    <row r="64" customFormat="false" ht="15" hidden="false" customHeight="false" outlineLevel="0" collapsed="false">
      <c r="A64" s="1" t="s">
        <v>240</v>
      </c>
      <c r="B64" s="1" t="s">
        <v>238</v>
      </c>
      <c r="C64" s="1" t="s">
        <v>239</v>
      </c>
      <c r="D64" s="1" t="s">
        <v>674</v>
      </c>
      <c r="E64" s="1" t="s">
        <v>688</v>
      </c>
    </row>
    <row r="65" customFormat="false" ht="15" hidden="false" customHeight="false" outlineLevel="0" collapsed="false">
      <c r="A65" s="1" t="s">
        <v>260</v>
      </c>
      <c r="B65" s="1" t="s">
        <v>254</v>
      </c>
      <c r="C65" s="1" t="s">
        <v>259</v>
      </c>
      <c r="D65" s="1" t="s">
        <v>689</v>
      </c>
      <c r="E65" s="1" t="s">
        <v>690</v>
      </c>
    </row>
    <row r="66" customFormat="false" ht="15" hidden="false" customHeight="false" outlineLevel="0" collapsed="false">
      <c r="A66" s="1" t="s">
        <v>274</v>
      </c>
      <c r="B66" s="1" t="s">
        <v>272</v>
      </c>
      <c r="C66" s="1" t="s">
        <v>273</v>
      </c>
      <c r="D66" s="1" t="s">
        <v>679</v>
      </c>
      <c r="E66" s="1" t="s">
        <v>691</v>
      </c>
    </row>
    <row r="67" customFormat="false" ht="15" hidden="false" customHeight="false" outlineLevel="0" collapsed="false">
      <c r="A67" s="1" t="s">
        <v>282</v>
      </c>
      <c r="B67" s="1" t="s">
        <v>280</v>
      </c>
      <c r="C67" s="1" t="s">
        <v>281</v>
      </c>
      <c r="D67" s="1" t="s">
        <v>679</v>
      </c>
      <c r="E67" s="1" t="s">
        <v>692</v>
      </c>
    </row>
    <row r="68" customFormat="false" ht="15" hidden="false" customHeight="false" outlineLevel="0" collapsed="false">
      <c r="A68" s="1" t="s">
        <v>289</v>
      </c>
      <c r="B68" s="1" t="s">
        <v>287</v>
      </c>
      <c r="C68" s="1" t="s">
        <v>288</v>
      </c>
      <c r="D68" s="1" t="s">
        <v>666</v>
      </c>
      <c r="E68" s="1" t="s">
        <v>693</v>
      </c>
    </row>
    <row r="69" customFormat="false" ht="15" hidden="false" customHeight="false" outlineLevel="0" collapsed="false">
      <c r="A69" s="1" t="s">
        <v>297</v>
      </c>
      <c r="B69" s="1" t="s">
        <v>295</v>
      </c>
      <c r="C69" s="1" t="s">
        <v>296</v>
      </c>
      <c r="D69" s="1" t="s">
        <v>689</v>
      </c>
      <c r="E69" s="1" t="s">
        <v>694</v>
      </c>
    </row>
    <row r="70" customFormat="false" ht="15" hidden="false" customHeight="false" outlineLevel="0" collapsed="false">
      <c r="A70" s="1" t="s">
        <v>311</v>
      </c>
      <c r="B70" s="1" t="s">
        <v>309</v>
      </c>
      <c r="C70" s="1" t="s">
        <v>310</v>
      </c>
      <c r="D70" s="1" t="s">
        <v>679</v>
      </c>
      <c r="E70" s="1" t="s">
        <v>695</v>
      </c>
    </row>
    <row r="71" customFormat="false" ht="15" hidden="false" customHeight="false" outlineLevel="0" collapsed="false">
      <c r="A71" s="1" t="s">
        <v>696</v>
      </c>
      <c r="B71" s="1" t="s">
        <v>317</v>
      </c>
      <c r="C71" s="1" t="s">
        <v>318</v>
      </c>
      <c r="D71" s="1" t="s">
        <v>664</v>
      </c>
      <c r="E71" s="1" t="s">
        <v>697</v>
      </c>
    </row>
    <row r="72" customFormat="false" ht="15" hidden="false" customHeight="false" outlineLevel="0" collapsed="false">
      <c r="A72" s="1" t="s">
        <v>326</v>
      </c>
      <c r="B72" s="1" t="s">
        <v>325</v>
      </c>
      <c r="C72" s="1" t="s">
        <v>310</v>
      </c>
      <c r="D72" s="1" t="s">
        <v>679</v>
      </c>
      <c r="E72" s="1" t="s">
        <v>698</v>
      </c>
    </row>
    <row r="73" customFormat="false" ht="15" hidden="false" customHeight="false" outlineLevel="0" collapsed="false">
      <c r="A73" s="1" t="s">
        <v>333</v>
      </c>
      <c r="B73" s="1" t="s">
        <v>331</v>
      </c>
      <c r="C73" s="1" t="s">
        <v>332</v>
      </c>
      <c r="D73" s="1" t="s">
        <v>669</v>
      </c>
      <c r="E73" s="1" t="s">
        <v>699</v>
      </c>
    </row>
    <row r="74" customFormat="false" ht="15" hidden="false" customHeight="false" outlineLevel="0" collapsed="false">
      <c r="A74" s="1" t="s">
        <v>353</v>
      </c>
      <c r="B74" s="1" t="s">
        <v>351</v>
      </c>
      <c r="C74" s="1" t="s">
        <v>352</v>
      </c>
      <c r="D74" s="1" t="s">
        <v>689</v>
      </c>
      <c r="E74" s="1" t="s">
        <v>700</v>
      </c>
    </row>
    <row r="75" customFormat="false" ht="15" hidden="false" customHeight="false" outlineLevel="0" collapsed="false">
      <c r="A75" s="1" t="s">
        <v>358</v>
      </c>
      <c r="B75" s="1" t="s">
        <v>356</v>
      </c>
      <c r="C75" s="1" t="s">
        <v>357</v>
      </c>
      <c r="D75" s="1" t="s">
        <v>664</v>
      </c>
      <c r="E75" s="1" t="s">
        <v>701</v>
      </c>
    </row>
    <row r="76" customFormat="false" ht="15" hidden="false" customHeight="false" outlineLevel="0" collapsed="false">
      <c r="A76" s="1" t="s">
        <v>374</v>
      </c>
      <c r="B76" s="1" t="s">
        <v>373</v>
      </c>
      <c r="C76" s="1" t="s">
        <v>70</v>
      </c>
      <c r="D76" s="1" t="s">
        <v>702</v>
      </c>
      <c r="E76" s="1" t="s">
        <v>703</v>
      </c>
    </row>
    <row r="77" customFormat="false" ht="15" hidden="false" customHeight="false" outlineLevel="0" collapsed="false">
      <c r="A77" s="1" t="s">
        <v>394</v>
      </c>
      <c r="B77" s="1" t="s">
        <v>393</v>
      </c>
      <c r="C77" s="1" t="n">
        <v>1206</v>
      </c>
      <c r="D77" s="1" t="s">
        <v>702</v>
      </c>
      <c r="E77" s="1" t="s">
        <v>704</v>
      </c>
    </row>
    <row r="78" customFormat="false" ht="15" hidden="false" customHeight="false" outlineLevel="0" collapsed="false">
      <c r="A78" s="1" t="s">
        <v>417</v>
      </c>
      <c r="B78" s="1" t="s">
        <v>416</v>
      </c>
      <c r="C78" s="1" t="s">
        <v>70</v>
      </c>
      <c r="D78" s="1" t="s">
        <v>702</v>
      </c>
      <c r="E78" s="1" t="s">
        <v>705</v>
      </c>
    </row>
    <row r="79" customFormat="false" ht="15" hidden="false" customHeight="false" outlineLevel="0" collapsed="false">
      <c r="A79" s="1" t="s">
        <v>420</v>
      </c>
      <c r="B79" s="1" t="s">
        <v>419</v>
      </c>
      <c r="C79" s="1" t="s">
        <v>76</v>
      </c>
      <c r="D79" s="1" t="s">
        <v>702</v>
      </c>
      <c r="E79" s="1" t="s">
        <v>706</v>
      </c>
    </row>
    <row r="80" customFormat="false" ht="15" hidden="false" customHeight="false" outlineLevel="0" collapsed="false">
      <c r="A80" s="1" t="s">
        <v>423</v>
      </c>
      <c r="B80" s="1" t="s">
        <v>422</v>
      </c>
      <c r="C80" s="1" t="n">
        <v>1206</v>
      </c>
      <c r="D80" s="1" t="s">
        <v>702</v>
      </c>
      <c r="E80" s="1" t="s">
        <v>707</v>
      </c>
    </row>
    <row r="81" customFormat="false" ht="15" hidden="false" customHeight="false" outlineLevel="0" collapsed="false">
      <c r="A81" s="1" t="s">
        <v>426</v>
      </c>
      <c r="B81" s="1" t="s">
        <v>425</v>
      </c>
      <c r="C81" s="1" t="s">
        <v>70</v>
      </c>
      <c r="D81" s="1" t="s">
        <v>702</v>
      </c>
      <c r="E81" s="1" t="s">
        <v>708</v>
      </c>
    </row>
    <row r="82" customFormat="false" ht="15" hidden="false" customHeight="false" outlineLevel="0" collapsed="false">
      <c r="A82" s="1" t="s">
        <v>429</v>
      </c>
      <c r="B82" s="1" t="s">
        <v>428</v>
      </c>
      <c r="C82" s="1" t="s">
        <v>70</v>
      </c>
      <c r="D82" s="1" t="s">
        <v>702</v>
      </c>
      <c r="E82" s="1" t="s">
        <v>709</v>
      </c>
    </row>
    <row r="83" customFormat="false" ht="15" hidden="false" customHeight="false" outlineLevel="0" collapsed="false">
      <c r="A83" s="1" t="s">
        <v>444</v>
      </c>
      <c r="B83" s="1" t="s">
        <v>442</v>
      </c>
      <c r="C83" s="1" t="s">
        <v>443</v>
      </c>
      <c r="D83" s="1" t="s">
        <v>702</v>
      </c>
      <c r="E83" s="1" t="s">
        <v>710</v>
      </c>
    </row>
    <row r="84" customFormat="false" ht="15" hidden="false" customHeight="false" outlineLevel="0" collapsed="false">
      <c r="A84" s="1" t="s">
        <v>452</v>
      </c>
      <c r="B84" s="1" t="s">
        <v>451</v>
      </c>
      <c r="C84" s="1" t="s">
        <v>76</v>
      </c>
      <c r="D84" s="1" t="s">
        <v>702</v>
      </c>
      <c r="E84" s="1" t="s">
        <v>711</v>
      </c>
    </row>
    <row r="85" customFormat="false" ht="15" hidden="false" customHeight="false" outlineLevel="0" collapsed="false">
      <c r="A85" s="1" t="s">
        <v>463</v>
      </c>
      <c r="B85" s="1" t="s">
        <v>462</v>
      </c>
      <c r="C85" s="1" t="n">
        <v>1206</v>
      </c>
      <c r="D85" s="1" t="s">
        <v>702</v>
      </c>
      <c r="E85" s="1" t="s">
        <v>712</v>
      </c>
    </row>
    <row r="86" customFormat="false" ht="15" hidden="false" customHeight="false" outlineLevel="0" collapsed="false">
      <c r="A86" s="1" t="s">
        <v>467</v>
      </c>
      <c r="B86" s="1" t="s">
        <v>466</v>
      </c>
      <c r="C86" s="1" t="s">
        <v>151</v>
      </c>
      <c r="D86" s="1" t="s">
        <v>679</v>
      </c>
      <c r="E86" s="1" t="s">
        <v>713</v>
      </c>
    </row>
    <row r="87" customFormat="false" ht="15" hidden="false" customHeight="false" outlineLevel="0" collapsed="false">
      <c r="A87" s="1" t="s">
        <v>477</v>
      </c>
      <c r="B87" s="1" t="s">
        <v>476</v>
      </c>
      <c r="C87" s="1" t="s">
        <v>151</v>
      </c>
      <c r="D87" s="1" t="s">
        <v>679</v>
      </c>
      <c r="E87" s="1" t="s">
        <v>714</v>
      </c>
    </row>
    <row r="88" customFormat="false" ht="15" hidden="false" customHeight="false" outlineLevel="0" collapsed="false">
      <c r="A88" s="1" t="s">
        <v>505</v>
      </c>
      <c r="B88" s="1" t="s">
        <v>504</v>
      </c>
      <c r="C88" s="1" t="s">
        <v>151</v>
      </c>
      <c r="D88" s="1" t="s">
        <v>679</v>
      </c>
      <c r="E88" s="1" t="s">
        <v>715</v>
      </c>
    </row>
    <row r="89" customFormat="false" ht="15" hidden="false" customHeight="false" outlineLevel="0" collapsed="false">
      <c r="A89" s="1" t="s">
        <v>518</v>
      </c>
      <c r="B89" s="1" t="s">
        <v>516</v>
      </c>
      <c r="C89" s="1" t="s">
        <v>517</v>
      </c>
      <c r="D89" s="1" t="s">
        <v>666</v>
      </c>
      <c r="E89" s="1" t="s">
        <v>716</v>
      </c>
    </row>
    <row r="90" customFormat="false" ht="15" hidden="false" customHeight="false" outlineLevel="0" collapsed="false">
      <c r="A90" s="1" t="s">
        <v>525</v>
      </c>
      <c r="B90" s="1" t="s">
        <v>524</v>
      </c>
      <c r="C90" s="1" t="s">
        <v>273</v>
      </c>
      <c r="D90" s="1" t="s">
        <v>666</v>
      </c>
      <c r="E90" s="1" t="s">
        <v>717</v>
      </c>
    </row>
    <row r="91" customFormat="false" ht="15" hidden="false" customHeight="false" outlineLevel="0" collapsed="false">
      <c r="A91" s="1" t="s">
        <v>533</v>
      </c>
      <c r="B91" s="1" t="s">
        <v>531</v>
      </c>
      <c r="C91" s="1" t="s">
        <v>532</v>
      </c>
      <c r="D91" s="1" t="s">
        <v>666</v>
      </c>
      <c r="E91" s="1" t="s">
        <v>718</v>
      </c>
    </row>
    <row r="92" customFormat="false" ht="15" hidden="false" customHeight="false" outlineLevel="0" collapsed="false">
      <c r="A92" s="1" t="s">
        <v>537</v>
      </c>
      <c r="B92" s="1" t="s">
        <v>536</v>
      </c>
      <c r="C92" s="1" t="s">
        <v>532</v>
      </c>
      <c r="D92" s="1" t="s">
        <v>666</v>
      </c>
      <c r="E92" s="1" t="s">
        <v>719</v>
      </c>
    </row>
    <row r="93" customFormat="false" ht="15" hidden="false" customHeight="false" outlineLevel="0" collapsed="false">
      <c r="A93" s="1" t="s">
        <v>543</v>
      </c>
      <c r="B93" s="1" t="s">
        <v>542</v>
      </c>
      <c r="C93" s="1" t="s">
        <v>532</v>
      </c>
      <c r="D93" s="1" t="s">
        <v>666</v>
      </c>
      <c r="E93" s="1" t="s">
        <v>720</v>
      </c>
    </row>
    <row r="94" customFormat="false" ht="15" hidden="false" customHeight="false" outlineLevel="0" collapsed="false">
      <c r="A94" s="1" t="s">
        <v>549</v>
      </c>
      <c r="B94" s="1" t="n">
        <v>555</v>
      </c>
      <c r="C94" s="1" t="s">
        <v>352</v>
      </c>
      <c r="D94" s="1" t="s">
        <v>664</v>
      </c>
      <c r="E94" s="1" t="s">
        <v>721</v>
      </c>
    </row>
    <row r="95" customFormat="false" ht="15" hidden="false" customHeight="false" outlineLevel="0" collapsed="false">
      <c r="A95" s="1" t="s">
        <v>566</v>
      </c>
      <c r="B95" s="1" t="s">
        <v>564</v>
      </c>
      <c r="C95" s="1" t="s">
        <v>565</v>
      </c>
      <c r="D95" s="1" t="s">
        <v>666</v>
      </c>
      <c r="E95" s="1" t="s">
        <v>722</v>
      </c>
    </row>
    <row r="96" customFormat="false" ht="15" hidden="false" customHeight="false" outlineLevel="0" collapsed="false">
      <c r="A96" s="1" t="s">
        <v>581</v>
      </c>
      <c r="B96" s="1" t="s">
        <v>579</v>
      </c>
      <c r="C96" s="1" t="s">
        <v>580</v>
      </c>
      <c r="D96" s="1" t="s">
        <v>664</v>
      </c>
      <c r="E96" s="1" t="s">
        <v>723</v>
      </c>
    </row>
    <row r="97" customFormat="false" ht="15" hidden="false" customHeight="false" outlineLevel="0" collapsed="false">
      <c r="A97" s="1" t="s">
        <v>587</v>
      </c>
      <c r="B97" s="1" t="s">
        <v>586</v>
      </c>
      <c r="C97" s="1" t="s">
        <v>303</v>
      </c>
      <c r="D97" s="1" t="s">
        <v>679</v>
      </c>
      <c r="E97" s="1" t="s">
        <v>724</v>
      </c>
    </row>
    <row r="98" customFormat="false" ht="15" hidden="false" customHeight="false" outlineLevel="0" collapsed="false">
      <c r="A98" s="1" t="s">
        <v>593</v>
      </c>
      <c r="B98" s="1" t="s">
        <v>592</v>
      </c>
      <c r="C98" s="1" t="s">
        <v>310</v>
      </c>
      <c r="D98" s="1" t="s">
        <v>689</v>
      </c>
      <c r="E98" s="1" t="s">
        <v>725</v>
      </c>
    </row>
    <row r="99" customFormat="false" ht="15" hidden="false" customHeight="false" outlineLevel="0" collapsed="false">
      <c r="A99" s="1" t="s">
        <v>600</v>
      </c>
      <c r="B99" s="1" t="s">
        <v>598</v>
      </c>
      <c r="C99" s="1" t="s">
        <v>599</v>
      </c>
      <c r="D99" s="1" t="s">
        <v>666</v>
      </c>
      <c r="E99" s="1" t="s">
        <v>726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dcterms:modified xsi:type="dcterms:W3CDTF">2026-10-31T13:46:49Z</dcterms:modified>
  <cp:revision>56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